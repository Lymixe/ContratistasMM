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OneDrive\Documentos\"/>
    </mc:Choice>
  </mc:AlternateContent>
  <xr:revisionPtr revIDLastSave="0" documentId="13_ncr:1_{33E7AE3A-16C4-430D-89C3-EE3DE78A97D2}" xr6:coauthVersionLast="47" xr6:coauthVersionMax="47" xr10:uidLastSave="{00000000-0000-0000-0000-000000000000}"/>
  <bookViews>
    <workbookView xWindow="-108" yWindow="-108" windowWidth="23256" windowHeight="12456" activeTab="2" xr2:uid="{4787441A-A587-4775-97EF-D152B408C3F8}"/>
  </bookViews>
  <sheets>
    <sheet name="Pregunta 1" sheetId="1" r:id="rId1"/>
    <sheet name="Pregunta 2" sheetId="2" r:id="rId2"/>
    <sheet name="Pregunt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3" l="1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C129" i="3"/>
  <c r="C128" i="3"/>
  <c r="C127" i="3"/>
  <c r="C126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C125" i="3"/>
  <c r="C124" i="3"/>
  <c r="C122" i="3"/>
  <c r="C121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C123" i="3"/>
  <c r="T109" i="3"/>
  <c r="T110" i="3"/>
  <c r="T111" i="3"/>
  <c r="T112" i="3"/>
  <c r="T113" i="3"/>
  <c r="T114" i="3"/>
  <c r="T115" i="3"/>
  <c r="T108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C115" i="3"/>
  <c r="C114" i="3"/>
  <c r="C113" i="3"/>
  <c r="C112" i="3"/>
  <c r="C111" i="3"/>
  <c r="C109" i="3"/>
  <c r="C108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C107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C110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C102" i="3"/>
  <c r="C100" i="3"/>
  <c r="C99" i="3"/>
  <c r="C98" i="3"/>
  <c r="C97" i="3"/>
  <c r="C96" i="3"/>
  <c r="C95" i="3"/>
  <c r="C94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C101" i="3"/>
  <c r="T83" i="3"/>
  <c r="T84" i="3"/>
  <c r="T85" i="3"/>
  <c r="T86" i="3"/>
  <c r="T87" i="3"/>
  <c r="T88" i="3"/>
  <c r="T89" i="3"/>
  <c r="T82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C89" i="3"/>
  <c r="C88" i="3"/>
  <c r="C87" i="3"/>
  <c r="C85" i="3"/>
  <c r="C84" i="3"/>
  <c r="C83" i="3"/>
  <c r="C82" i="3"/>
  <c r="C81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C86" i="3"/>
  <c r="T70" i="3"/>
  <c r="T71" i="3"/>
  <c r="T72" i="3"/>
  <c r="T73" i="3"/>
  <c r="T74" i="3"/>
  <c r="T75" i="3"/>
  <c r="T76" i="3"/>
  <c r="T69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C76" i="3"/>
  <c r="D56" i="3"/>
  <c r="C75" i="3"/>
  <c r="C74" i="3"/>
  <c r="C73" i="3"/>
  <c r="C72" i="3"/>
  <c r="C71" i="3"/>
  <c r="C70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C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C69" i="3"/>
  <c r="T57" i="3"/>
  <c r="T58" i="3"/>
  <c r="T59" i="3"/>
  <c r="T60" i="3"/>
  <c r="T61" i="3"/>
  <c r="T62" i="3"/>
  <c r="T63" i="3"/>
  <c r="T56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C63" i="3"/>
  <c r="C62" i="3"/>
  <c r="C61" i="3"/>
  <c r="C60" i="3"/>
  <c r="C58" i="3"/>
  <c r="C57" i="3"/>
  <c r="C56" i="3"/>
  <c r="C55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C59" i="3"/>
  <c r="T44" i="3"/>
  <c r="T45" i="3"/>
  <c r="T46" i="3"/>
  <c r="T47" i="3"/>
  <c r="T48" i="3"/>
  <c r="T49" i="3"/>
  <c r="T50" i="3"/>
  <c r="T43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C37" i="3"/>
  <c r="D80" i="2"/>
  <c r="E80" i="2"/>
  <c r="F80" i="2"/>
  <c r="G80" i="2"/>
  <c r="H80" i="2"/>
  <c r="I80" i="2"/>
  <c r="J80" i="2"/>
  <c r="C80" i="2"/>
  <c r="D78" i="2"/>
  <c r="E78" i="2"/>
  <c r="F78" i="2"/>
  <c r="G78" i="2"/>
  <c r="H78" i="2"/>
  <c r="I78" i="2"/>
  <c r="J78" i="2"/>
  <c r="C78" i="2"/>
  <c r="D77" i="2"/>
  <c r="E77" i="2"/>
  <c r="F77" i="2"/>
  <c r="G77" i="2"/>
  <c r="H77" i="2"/>
  <c r="I77" i="2"/>
  <c r="J77" i="2"/>
  <c r="C77" i="2"/>
  <c r="D79" i="2"/>
  <c r="E79" i="2"/>
  <c r="F79" i="2"/>
  <c r="G79" i="2"/>
  <c r="H79" i="2"/>
  <c r="I79" i="2"/>
  <c r="J79" i="2"/>
  <c r="C79" i="2"/>
  <c r="K71" i="2"/>
  <c r="K72" i="2"/>
  <c r="K70" i="2"/>
  <c r="D72" i="2"/>
  <c r="E72" i="2"/>
  <c r="F72" i="2"/>
  <c r="G72" i="2"/>
  <c r="H72" i="2"/>
  <c r="I72" i="2"/>
  <c r="J72" i="2"/>
  <c r="D70" i="2"/>
  <c r="E70" i="2"/>
  <c r="F70" i="2"/>
  <c r="G70" i="2"/>
  <c r="H70" i="2"/>
  <c r="I70" i="2"/>
  <c r="J70" i="2"/>
  <c r="D69" i="2"/>
  <c r="E69" i="2"/>
  <c r="F69" i="2"/>
  <c r="G69" i="2"/>
  <c r="H69" i="2"/>
  <c r="I69" i="2"/>
  <c r="J69" i="2"/>
  <c r="C72" i="2"/>
  <c r="C70" i="2"/>
  <c r="C69" i="2"/>
  <c r="D71" i="2"/>
  <c r="E71" i="2"/>
  <c r="F71" i="2"/>
  <c r="G71" i="2"/>
  <c r="H71" i="2"/>
  <c r="I71" i="2"/>
  <c r="J71" i="2"/>
  <c r="C71" i="2"/>
  <c r="K63" i="2"/>
  <c r="K64" i="2"/>
  <c r="K62" i="2"/>
  <c r="K54" i="2"/>
  <c r="K55" i="2"/>
  <c r="K48" i="2"/>
  <c r="D64" i="2"/>
  <c r="E64" i="2"/>
  <c r="F64" i="2"/>
  <c r="G64" i="2"/>
  <c r="H64" i="2"/>
  <c r="I64" i="2"/>
  <c r="J64" i="2"/>
  <c r="D63" i="2"/>
  <c r="E63" i="2"/>
  <c r="F63" i="2"/>
  <c r="G63" i="2"/>
  <c r="H63" i="2"/>
  <c r="I63" i="2"/>
  <c r="J63" i="2"/>
  <c r="C64" i="2"/>
  <c r="C63" i="2"/>
  <c r="D61" i="2"/>
  <c r="E61" i="2"/>
  <c r="F61" i="2"/>
  <c r="G61" i="2"/>
  <c r="H61" i="2"/>
  <c r="I61" i="2"/>
  <c r="J61" i="2"/>
  <c r="C61" i="2"/>
  <c r="D62" i="2"/>
  <c r="E62" i="2"/>
  <c r="F62" i="2"/>
  <c r="G62" i="2"/>
  <c r="H62" i="2"/>
  <c r="I62" i="2"/>
  <c r="J62" i="2"/>
  <c r="C62" i="2"/>
  <c r="K56" i="2"/>
  <c r="E40" i="2"/>
  <c r="D40" i="2"/>
  <c r="D55" i="2"/>
  <c r="E55" i="2"/>
  <c r="F55" i="2"/>
  <c r="G55" i="2"/>
  <c r="H55" i="2"/>
  <c r="I55" i="2"/>
  <c r="J55" i="2"/>
  <c r="D54" i="2"/>
  <c r="E54" i="2"/>
  <c r="F54" i="2"/>
  <c r="G54" i="2"/>
  <c r="H54" i="2"/>
  <c r="I54" i="2"/>
  <c r="J54" i="2"/>
  <c r="D53" i="2"/>
  <c r="E53" i="2"/>
  <c r="F53" i="2"/>
  <c r="G53" i="2"/>
  <c r="H53" i="2"/>
  <c r="I53" i="2"/>
  <c r="J53" i="2"/>
  <c r="C55" i="2"/>
  <c r="C54" i="2"/>
  <c r="C53" i="2"/>
  <c r="D56" i="2"/>
  <c r="E56" i="2"/>
  <c r="F56" i="2"/>
  <c r="G56" i="2"/>
  <c r="H56" i="2"/>
  <c r="I56" i="2"/>
  <c r="J56" i="2"/>
  <c r="C56" i="2"/>
  <c r="K47" i="2"/>
  <c r="K46" i="2"/>
  <c r="F40" i="2"/>
  <c r="G40" i="2"/>
  <c r="H40" i="2"/>
  <c r="I40" i="2"/>
  <c r="J40" i="2"/>
  <c r="C40" i="2"/>
  <c r="M7" i="2"/>
  <c r="E86" i="1"/>
  <c r="F86" i="1"/>
  <c r="G86" i="1"/>
  <c r="H86" i="1"/>
  <c r="I86" i="1"/>
  <c r="J86" i="1"/>
  <c r="K86" i="1"/>
  <c r="L86" i="1"/>
  <c r="M86" i="1"/>
  <c r="N86" i="1"/>
  <c r="O86" i="1"/>
  <c r="E85" i="1"/>
  <c r="F85" i="1"/>
  <c r="G85" i="1"/>
  <c r="H85" i="1"/>
  <c r="I85" i="1"/>
  <c r="J85" i="1"/>
  <c r="K85" i="1"/>
  <c r="L85" i="1"/>
  <c r="M85" i="1"/>
  <c r="N85" i="1"/>
  <c r="O85" i="1"/>
  <c r="E83" i="1"/>
  <c r="F83" i="1"/>
  <c r="G83" i="1"/>
  <c r="H83" i="1"/>
  <c r="I83" i="1"/>
  <c r="J83" i="1"/>
  <c r="K83" i="1"/>
  <c r="L83" i="1"/>
  <c r="M83" i="1"/>
  <c r="N83" i="1"/>
  <c r="O83" i="1"/>
  <c r="D86" i="1"/>
  <c r="D85" i="1"/>
  <c r="D83" i="1"/>
  <c r="E84" i="1"/>
  <c r="F84" i="1"/>
  <c r="G84" i="1"/>
  <c r="H84" i="1"/>
  <c r="I84" i="1"/>
  <c r="J84" i="1"/>
  <c r="K84" i="1"/>
  <c r="L84" i="1"/>
  <c r="M84" i="1"/>
  <c r="N84" i="1"/>
  <c r="O84" i="1"/>
  <c r="D84" i="1"/>
  <c r="P77" i="1"/>
  <c r="P78" i="1"/>
  <c r="P76" i="1"/>
  <c r="E78" i="1"/>
  <c r="F78" i="1"/>
  <c r="G78" i="1"/>
  <c r="H78" i="1"/>
  <c r="I78" i="1"/>
  <c r="J78" i="1"/>
  <c r="K78" i="1"/>
  <c r="L78" i="1"/>
  <c r="M78" i="1"/>
  <c r="N78" i="1"/>
  <c r="O78" i="1"/>
  <c r="E76" i="1"/>
  <c r="F76" i="1"/>
  <c r="G76" i="1"/>
  <c r="H76" i="1"/>
  <c r="I76" i="1"/>
  <c r="J76" i="1"/>
  <c r="K76" i="1"/>
  <c r="L76" i="1"/>
  <c r="M76" i="1"/>
  <c r="N76" i="1"/>
  <c r="O76" i="1"/>
  <c r="E75" i="1"/>
  <c r="F75" i="1"/>
  <c r="G75" i="1"/>
  <c r="H75" i="1"/>
  <c r="I75" i="1"/>
  <c r="J75" i="1"/>
  <c r="K75" i="1"/>
  <c r="L75" i="1"/>
  <c r="M75" i="1"/>
  <c r="N75" i="1"/>
  <c r="O75" i="1"/>
  <c r="D78" i="1"/>
  <c r="D76" i="1"/>
  <c r="D75" i="1"/>
  <c r="E77" i="1"/>
  <c r="F77" i="1"/>
  <c r="G77" i="1"/>
  <c r="H77" i="1"/>
  <c r="I77" i="1"/>
  <c r="J77" i="1"/>
  <c r="K77" i="1"/>
  <c r="L77" i="1"/>
  <c r="M77" i="1"/>
  <c r="N77" i="1"/>
  <c r="O77" i="1"/>
  <c r="D77" i="1"/>
  <c r="K46" i="1"/>
  <c r="K59" i="1"/>
  <c r="E70" i="1"/>
  <c r="E68" i="1" s="1"/>
  <c r="E62" i="1"/>
  <c r="F62" i="1"/>
  <c r="F70" i="1" s="1"/>
  <c r="F68" i="1" s="1"/>
  <c r="G62" i="1"/>
  <c r="G70" i="1" s="1"/>
  <c r="G68" i="1" s="1"/>
  <c r="H62" i="1"/>
  <c r="H70" i="1" s="1"/>
  <c r="I62" i="1"/>
  <c r="I70" i="1" s="1"/>
  <c r="J62" i="1"/>
  <c r="J70" i="1" s="1"/>
  <c r="L62" i="1"/>
  <c r="L70" i="1" s="1"/>
  <c r="E59" i="1"/>
  <c r="F59" i="1"/>
  <c r="G59" i="1"/>
  <c r="H59" i="1"/>
  <c r="E60" i="1"/>
  <c r="E61" i="1" s="1"/>
  <c r="F60" i="1"/>
  <c r="F61" i="1" s="1"/>
  <c r="G60" i="1"/>
  <c r="G61" i="1" s="1"/>
  <c r="H60" i="1"/>
  <c r="H68" i="1" s="1"/>
  <c r="I60" i="1"/>
  <c r="I59" i="1" s="1"/>
  <c r="I67" i="1" s="1"/>
  <c r="J60" i="1"/>
  <c r="J59" i="1" s="1"/>
  <c r="J67" i="1" s="1"/>
  <c r="K60" i="1"/>
  <c r="K62" i="1" s="1"/>
  <c r="K70" i="1" s="1"/>
  <c r="L60" i="1"/>
  <c r="M60" i="1"/>
  <c r="M62" i="1" s="1"/>
  <c r="M70" i="1" s="1"/>
  <c r="N60" i="1"/>
  <c r="N59" i="1" s="1"/>
  <c r="O60" i="1"/>
  <c r="O59" i="1" s="1"/>
  <c r="D60" i="1"/>
  <c r="P53" i="1"/>
  <c r="P54" i="1"/>
  <c r="P52" i="1"/>
  <c r="E46" i="1"/>
  <c r="F46" i="1"/>
  <c r="G46" i="1"/>
  <c r="H46" i="1"/>
  <c r="I46" i="1"/>
  <c r="J46" i="1"/>
  <c r="L46" i="1"/>
  <c r="M46" i="1"/>
  <c r="N46" i="1"/>
  <c r="O46" i="1"/>
  <c r="D46" i="1"/>
  <c r="F17" i="1"/>
  <c r="F18" i="1"/>
  <c r="F19" i="1"/>
  <c r="F20" i="1"/>
  <c r="F21" i="1"/>
  <c r="F16" i="1"/>
  <c r="H67" i="1" l="1"/>
  <c r="G67" i="1"/>
  <c r="F67" i="1"/>
  <c r="E67" i="1"/>
  <c r="N67" i="1"/>
  <c r="L68" i="1"/>
  <c r="D61" i="1"/>
  <c r="D62" i="1"/>
  <c r="D70" i="1" s="1"/>
  <c r="D68" i="1" s="1"/>
  <c r="P60" i="1"/>
  <c r="M61" i="1"/>
  <c r="K61" i="1"/>
  <c r="K69" i="1" s="1"/>
  <c r="J61" i="1"/>
  <c r="I61" i="1"/>
  <c r="I69" i="1" s="1"/>
  <c r="D59" i="1"/>
  <c r="D67" i="1" s="1"/>
  <c r="H61" i="1"/>
  <c r="H69" i="1" s="1"/>
  <c r="M68" i="1"/>
  <c r="L59" i="1"/>
  <c r="L67" i="1" s="1"/>
  <c r="O62" i="1"/>
  <c r="J68" i="1"/>
  <c r="N62" i="1"/>
  <c r="N70" i="1" s="1"/>
  <c r="N68" i="1" s="1"/>
  <c r="I68" i="1"/>
  <c r="O61" i="1"/>
  <c r="N61" i="1"/>
  <c r="L61" i="1"/>
  <c r="M59" i="1"/>
  <c r="M67" i="1" s="1"/>
  <c r="K68" i="1"/>
  <c r="K67" i="1"/>
  <c r="J69" i="1" l="1"/>
  <c r="M69" i="1"/>
  <c r="D69" i="1"/>
  <c r="L69" i="1"/>
  <c r="N69" i="1"/>
  <c r="P61" i="1"/>
  <c r="P62" i="1"/>
  <c r="O70" i="1"/>
  <c r="E69" i="1"/>
  <c r="F69" i="1"/>
  <c r="G69" i="1"/>
  <c r="P70" i="1" l="1"/>
  <c r="O68" i="1"/>
  <c r="P68" i="1" s="1"/>
  <c r="O67" i="1"/>
  <c r="O69" i="1"/>
  <c r="P69" i="1" s="1"/>
</calcChain>
</file>

<file path=xl/sharedStrings.xml><?xml version="1.0" encoding="utf-8"?>
<sst xmlns="http://schemas.openxmlformats.org/spreadsheetml/2006/main" count="643" uniqueCount="112">
  <si>
    <t>Corte</t>
  </si>
  <si>
    <t xml:space="preserve">Corte </t>
  </si>
  <si>
    <t>Desperdicio</t>
  </si>
  <si>
    <t>Maximo 180</t>
  </si>
  <si>
    <t xml:space="preserve">VD: </t>
  </si>
  <si>
    <t>X1</t>
  </si>
  <si>
    <t>X2</t>
  </si>
  <si>
    <t>X3</t>
  </si>
  <si>
    <t>X4</t>
  </si>
  <si>
    <t>X5</t>
  </si>
  <si>
    <t>X6</t>
  </si>
  <si>
    <t>X7</t>
  </si>
  <si>
    <t>Xi: cantidad de cortes tipo i ( 1, 2, 3, 4, 5, 6, 7)</t>
  </si>
  <si>
    <t>FO:</t>
  </si>
  <si>
    <t>ST:</t>
  </si>
  <si>
    <t>2) 3X1 + 2X2 + X6 + X7 = 5000</t>
  </si>
  <si>
    <t>3) 2X4 + X5 + X6 = 15000</t>
  </si>
  <si>
    <t>4) X2 + 3X3 + 2X5 + X6 + 2X7 = 5000</t>
  </si>
  <si>
    <r>
      <t xml:space="preserve">2) 3X1 + 2X2 + X6 + X7 </t>
    </r>
    <r>
      <rPr>
        <sz val="11"/>
        <color rgb="FFFF0000"/>
        <rFont val="Aptos Narrow"/>
        <family val="2"/>
        <scheme val="minor"/>
      </rPr>
      <t>+ R1</t>
    </r>
    <r>
      <rPr>
        <sz val="11"/>
        <color theme="1"/>
        <rFont val="Aptos Narrow"/>
        <family val="2"/>
        <scheme val="minor"/>
      </rPr>
      <t xml:space="preserve"> = 5000</t>
    </r>
  </si>
  <si>
    <r>
      <t xml:space="preserve">3) 2X4 + X5 + X6 </t>
    </r>
    <r>
      <rPr>
        <sz val="11"/>
        <color rgb="FFFF0000"/>
        <rFont val="Aptos Narrow"/>
        <family val="2"/>
        <scheme val="minor"/>
      </rPr>
      <t>+ R2</t>
    </r>
    <r>
      <rPr>
        <sz val="11"/>
        <color theme="1"/>
        <rFont val="Aptos Narrow"/>
        <family val="2"/>
        <scheme val="minor"/>
      </rPr>
      <t xml:space="preserve"> = 15000</t>
    </r>
  </si>
  <si>
    <r>
      <t xml:space="preserve">4) X2 + 3X3 + 2X5 + X6 + 2X7 </t>
    </r>
    <r>
      <rPr>
        <sz val="11"/>
        <color rgb="FFFF0000"/>
        <rFont val="Aptos Narrow"/>
        <family val="2"/>
        <scheme val="minor"/>
      </rPr>
      <t xml:space="preserve">+ R3 </t>
    </r>
    <r>
      <rPr>
        <sz val="11"/>
        <color theme="1"/>
        <rFont val="Aptos Narrow"/>
        <family val="2"/>
        <scheme val="minor"/>
      </rPr>
      <t>= 5000</t>
    </r>
  </si>
  <si>
    <r>
      <rPr>
        <b/>
        <sz val="11"/>
        <color theme="1"/>
        <rFont val="Aptos Narrow"/>
        <family val="2"/>
        <scheme val="minor"/>
      </rPr>
      <t xml:space="preserve">Min. </t>
    </r>
    <r>
      <rPr>
        <sz val="11"/>
        <color theme="1"/>
        <rFont val="Aptos Narrow"/>
        <family val="2"/>
        <scheme val="minor"/>
      </rPr>
      <t>Z</t>
    </r>
    <r>
      <rPr>
        <b/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2"/>
        <scheme val="minor"/>
      </rPr>
      <t>10X2 + 30X3 + 40X4 + 10X5 + 20X7 + MR1 + MR2 + MR3</t>
    </r>
  </si>
  <si>
    <t>TABLA 1</t>
  </si>
  <si>
    <t>Basica</t>
  </si>
  <si>
    <t>Z</t>
  </si>
  <si>
    <t>R1</t>
  </si>
  <si>
    <t>R2</t>
  </si>
  <si>
    <t>R3</t>
  </si>
  <si>
    <t xml:space="preserve">Valor </t>
  </si>
  <si>
    <t>Relación</t>
  </si>
  <si>
    <t>M = 1000</t>
  </si>
  <si>
    <t>1) Z - 10X2 - 30X3 - 40X4 - 10X5 - 20X7 - MR1 - MR2 - MR3 + 0X1 + 0X6 = 0</t>
  </si>
  <si>
    <t>Nueva Z</t>
  </si>
  <si>
    <t>TABLA 2</t>
  </si>
  <si>
    <t>Entra</t>
  </si>
  <si>
    <t>-</t>
  </si>
  <si>
    <t>Min</t>
  </si>
  <si>
    <t>sale</t>
  </si>
  <si>
    <t>Sale</t>
  </si>
  <si>
    <t>No Afecta</t>
  </si>
  <si>
    <t>TABLA 3</t>
  </si>
  <si>
    <t>TABLA 4</t>
  </si>
  <si>
    <t>TABLA 5</t>
  </si>
  <si>
    <t>TABLA 6</t>
  </si>
  <si>
    <t>Solución</t>
  </si>
  <si>
    <t>X2 = 0 cortes de este tipo</t>
  </si>
  <si>
    <t>X3 = 0 cortes de este tipo</t>
  </si>
  <si>
    <t>X4 = 5000 cortes de este tipo</t>
  </si>
  <si>
    <t>X5 = 5000 cortes de este tipo</t>
  </si>
  <si>
    <t>X7 = 0 cortes de este tipo</t>
  </si>
  <si>
    <t>Z = 200000 cantidad desperdiciada</t>
  </si>
  <si>
    <t>Regulares</t>
  </si>
  <si>
    <t>Nuevos</t>
  </si>
  <si>
    <t>Min. 800</t>
  </si>
  <si>
    <t>Disponibilidad</t>
  </si>
  <si>
    <t>Flujo de efectivo</t>
  </si>
  <si>
    <t>Tiempo invertido</t>
  </si>
  <si>
    <t>Min. 0.6X1</t>
  </si>
  <si>
    <t>Tiempo disponible de Llamadas</t>
  </si>
  <si>
    <t xml:space="preserve">Tiempo </t>
  </si>
  <si>
    <t>Max. 80</t>
  </si>
  <si>
    <r>
      <rPr>
        <b/>
        <sz val="11"/>
        <color theme="1"/>
        <rFont val="Aptos Narrow"/>
        <family val="2"/>
        <scheme val="minor"/>
      </rPr>
      <t>Max.</t>
    </r>
    <r>
      <rPr>
        <sz val="11"/>
        <color theme="1"/>
        <rFont val="Aptos Narrow"/>
        <family val="2"/>
        <scheme val="minor"/>
      </rPr>
      <t xml:space="preserve"> Z = X1 + X2</t>
    </r>
  </si>
  <si>
    <t>Xi: contactos a clientes i (1:regular, 2:nuevo)</t>
  </si>
  <si>
    <t>1) Z - X1 - X2 + MR1 + 0E1 + 0S1 + 0S2 = 0</t>
  </si>
  <si>
    <t>E1</t>
  </si>
  <si>
    <t>S1</t>
  </si>
  <si>
    <t>S2</t>
  </si>
  <si>
    <r>
      <t xml:space="preserve">3) 0.6X1 - X2 </t>
    </r>
    <r>
      <rPr>
        <sz val="11"/>
        <color rgb="FFFF0000"/>
        <rFont val="Aptos Narrow"/>
        <family val="2"/>
        <scheme val="minor"/>
      </rPr>
      <t xml:space="preserve">+ S1 </t>
    </r>
    <r>
      <rPr>
        <sz val="11"/>
        <color theme="1"/>
        <rFont val="Aptos Narrow"/>
        <family val="2"/>
        <scheme val="minor"/>
      </rPr>
      <t xml:space="preserve">= 0 </t>
    </r>
  </si>
  <si>
    <t>X1= 55.94 ---&gt;</t>
  </si>
  <si>
    <t>X1 = 56 Clientes regulares</t>
  </si>
  <si>
    <t>X2 = 33.57 ---&gt;</t>
  </si>
  <si>
    <t>X2 = 34 Clientes nuevos</t>
  </si>
  <si>
    <t>Z = 89.51 ---&gt;</t>
  </si>
  <si>
    <t>Z = 90 Clientes</t>
  </si>
  <si>
    <t>MIN Z = 20X11 + 20X12 + 20X13 + 40X21 + 40X22 + 20X23</t>
  </si>
  <si>
    <t>2) X11 + X12 + X13 &lt;= 140</t>
  </si>
  <si>
    <t>3) X21 + X22 + X23 &lt;= 320</t>
  </si>
  <si>
    <t>5) X12 + X22 = 80</t>
  </si>
  <si>
    <t>6) X13 + X23 = 120</t>
  </si>
  <si>
    <t>7) 4X11 - X21 &lt;= 0</t>
  </si>
  <si>
    <t>8) 20X12 + 20X13 - 40X21 &lt;= 0</t>
  </si>
  <si>
    <t>9) X12 - X13 &gt;= 0</t>
  </si>
  <si>
    <r>
      <t xml:space="preserve">2) X11 + X12 + X13 </t>
    </r>
    <r>
      <rPr>
        <sz val="11"/>
        <color rgb="FFFF0000"/>
        <rFont val="Aptos Narrow"/>
        <family val="2"/>
        <scheme val="minor"/>
      </rPr>
      <t>+ S1</t>
    </r>
    <r>
      <rPr>
        <sz val="11"/>
        <color theme="1"/>
        <rFont val="Aptos Narrow"/>
        <family val="2"/>
        <scheme val="minor"/>
      </rPr>
      <t>= 140</t>
    </r>
  </si>
  <si>
    <r>
      <t xml:space="preserve">3) X21 + X22 + X23 </t>
    </r>
    <r>
      <rPr>
        <sz val="11"/>
        <color rgb="FFFF0000"/>
        <rFont val="Aptos Narrow"/>
        <family val="2"/>
        <scheme val="minor"/>
      </rPr>
      <t xml:space="preserve">+ S2 </t>
    </r>
    <r>
      <rPr>
        <sz val="11"/>
        <color theme="1"/>
        <rFont val="Aptos Narrow"/>
        <family val="2"/>
        <scheme val="minor"/>
      </rPr>
      <t>= 320</t>
    </r>
  </si>
  <si>
    <t>4) X11 + X21 = 150</t>
  </si>
  <si>
    <r>
      <t xml:space="preserve">4) X11 + X21 </t>
    </r>
    <r>
      <rPr>
        <sz val="11"/>
        <color rgb="FFFF0000"/>
        <rFont val="Aptos Narrow"/>
        <family val="2"/>
        <scheme val="minor"/>
      </rPr>
      <t>+ R1</t>
    </r>
    <r>
      <rPr>
        <sz val="11"/>
        <rFont val="Aptos Narrow"/>
        <family val="2"/>
        <scheme val="minor"/>
      </rPr>
      <t xml:space="preserve"> = 150</t>
    </r>
  </si>
  <si>
    <r>
      <t xml:space="preserve">5) X12 + X22 </t>
    </r>
    <r>
      <rPr>
        <sz val="11"/>
        <color rgb="FFFF0000"/>
        <rFont val="Aptos Narrow"/>
        <family val="2"/>
        <scheme val="minor"/>
      </rPr>
      <t>+ R2</t>
    </r>
    <r>
      <rPr>
        <sz val="11"/>
        <color theme="1"/>
        <rFont val="Aptos Narrow"/>
        <family val="2"/>
        <scheme val="minor"/>
      </rPr>
      <t xml:space="preserve"> = 80</t>
    </r>
  </si>
  <si>
    <r>
      <t xml:space="preserve">6) X13 + X23 </t>
    </r>
    <r>
      <rPr>
        <sz val="11"/>
        <color rgb="FFFF0000"/>
        <rFont val="Aptos Narrow"/>
        <family val="2"/>
        <scheme val="minor"/>
      </rPr>
      <t>+ R3</t>
    </r>
    <r>
      <rPr>
        <sz val="11"/>
        <color theme="1"/>
        <rFont val="Aptos Narrow"/>
        <family val="2"/>
        <scheme val="minor"/>
      </rPr>
      <t xml:space="preserve"> = 120</t>
    </r>
  </si>
  <si>
    <r>
      <t xml:space="preserve">7) 4X11 - X21 </t>
    </r>
    <r>
      <rPr>
        <sz val="11"/>
        <color rgb="FFFF0000"/>
        <rFont val="Aptos Narrow"/>
        <family val="2"/>
        <scheme val="minor"/>
      </rPr>
      <t xml:space="preserve">+ S3 </t>
    </r>
    <r>
      <rPr>
        <sz val="11"/>
        <color theme="1"/>
        <rFont val="Aptos Narrow"/>
        <family val="2"/>
        <scheme val="minor"/>
      </rPr>
      <t>= 0</t>
    </r>
  </si>
  <si>
    <t>5) Xi &gt;=0</t>
  </si>
  <si>
    <t>5) Xij &gt;=0</t>
  </si>
  <si>
    <r>
      <t xml:space="preserve">8) 20X12 + 20X13 - 40X21 </t>
    </r>
    <r>
      <rPr>
        <sz val="11"/>
        <color rgb="FFFF0000"/>
        <rFont val="Aptos Narrow"/>
        <family val="2"/>
        <scheme val="minor"/>
      </rPr>
      <t xml:space="preserve">+ S4 </t>
    </r>
    <r>
      <rPr>
        <sz val="11"/>
        <color theme="1"/>
        <rFont val="Aptos Narrow"/>
        <family val="2"/>
        <scheme val="minor"/>
      </rPr>
      <t>= 0</t>
    </r>
  </si>
  <si>
    <r>
      <t xml:space="preserve">9) X12 - X13 </t>
    </r>
    <r>
      <rPr>
        <sz val="11"/>
        <color rgb="FFFF0000"/>
        <rFont val="Aptos Narrow"/>
        <family val="2"/>
        <scheme val="minor"/>
      </rPr>
      <t xml:space="preserve">-E1 + R4 </t>
    </r>
    <r>
      <rPr>
        <sz val="11"/>
        <color theme="1"/>
        <rFont val="Aptos Narrow"/>
        <family val="2"/>
        <scheme val="minor"/>
      </rPr>
      <t>= 0</t>
    </r>
  </si>
  <si>
    <t>X11</t>
  </si>
  <si>
    <t>X12</t>
  </si>
  <si>
    <t>X13</t>
  </si>
  <si>
    <t>X21</t>
  </si>
  <si>
    <t>X22</t>
  </si>
  <si>
    <t>X23</t>
  </si>
  <si>
    <t>1) Z - 20X11 - 20X12 - 20X13 - 40X21 - 40X22 - 20X23 + MR1 + MR2 + MR3 + MR4 = 0</t>
  </si>
  <si>
    <t>S3</t>
  </si>
  <si>
    <t>S4</t>
  </si>
  <si>
    <t>R4</t>
  </si>
  <si>
    <t>Relaciön</t>
  </si>
  <si>
    <t>4) 25X1 + 8X2 &gt;= 800</t>
  </si>
  <si>
    <r>
      <t xml:space="preserve">4) 25X1 + 8X2 </t>
    </r>
    <r>
      <rPr>
        <sz val="11"/>
        <color rgb="FFFF0000"/>
        <rFont val="Aptos Narrow"/>
        <family val="2"/>
        <scheme val="minor"/>
      </rPr>
      <t xml:space="preserve">- E1 + R1 </t>
    </r>
    <r>
      <rPr>
        <sz val="11"/>
        <color theme="1"/>
        <rFont val="Aptos Narrow"/>
        <family val="2"/>
        <scheme val="minor"/>
      </rPr>
      <t>= 800</t>
    </r>
  </si>
  <si>
    <t>2) 0.6X1 &lt;= X2</t>
  </si>
  <si>
    <t>3) 0.83X1 + X2 &lt;= 80</t>
  </si>
  <si>
    <r>
      <t xml:space="preserve">2) 0.6X1 </t>
    </r>
    <r>
      <rPr>
        <sz val="11"/>
        <color rgb="FFFF0000"/>
        <rFont val="Aptos Narrow"/>
        <family val="2"/>
        <scheme val="minor"/>
      </rPr>
      <t xml:space="preserve">+ S1 </t>
    </r>
    <r>
      <rPr>
        <sz val="11"/>
        <color theme="1"/>
        <rFont val="Aptos Narrow"/>
        <family val="2"/>
        <scheme val="minor"/>
      </rPr>
      <t>= X2    --&gt;</t>
    </r>
  </si>
  <si>
    <r>
      <t xml:space="preserve">3) 0.83X1 + X2 </t>
    </r>
    <r>
      <rPr>
        <sz val="11"/>
        <color rgb="FFFF0000"/>
        <rFont val="Aptos Narrow"/>
        <family val="2"/>
        <scheme val="minor"/>
      </rPr>
      <t xml:space="preserve">+ S2 </t>
    </r>
    <r>
      <rPr>
        <sz val="11"/>
        <color theme="1"/>
        <rFont val="Aptos Narrow"/>
        <family val="2"/>
        <scheme val="minor"/>
      </rPr>
      <t>= 80</t>
    </r>
  </si>
  <si>
    <t>Salida forzada</t>
  </si>
  <si>
    <t>TABLA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</si>
</sst>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Fill="1" applyBorder="1" applyAlignment="1">
      <alignment horizontal="right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4" xfId="0" applyBorder="1"/>
    <xf numFmtId="2" fontId="0" fillId="0" borderId="0" xfId="0" applyNumberFormat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2" fontId="3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4" fillId="0" borderId="0" xfId="0" applyFont="1"/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345849</xdr:colOff>
      <xdr:row>10</xdr:row>
      <xdr:rowOff>97398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B0B3E3-6014-5D77-39ED-9DC1EAEC1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7478169" cy="1743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746760</xdr:colOff>
      <xdr:row>1</xdr:row>
      <xdr:rowOff>38100</xdr:rowOff>
    </xdr:from>
    <xdr:to>
      <xdr:col>10</xdr:col>
      <xdr:colOff>137463</xdr:colOff>
      <xdr:row>24</xdr:row>
      <xdr:rowOff>156814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F6EBDA-FBEA-69DB-72F4-DEE57BE85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" y="220980"/>
          <a:ext cx="7421011" cy="4324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4458-BFAA-49C9-B9CA-5DB41607A9E4}">
  <dimension ref="B12:Q88"/>
  <sheetViews>
    <sheetView topLeftCell="A10" workbookViewId="0">
      <selection activeCell="M16" sqref="M16"/>
    </sheetView>
  </sheetViews>
  <sheetFormatPr baseColWidth="10" defaultRowHeight="14.4" x14ac:dyDescent="0.3"/>
  <sheetData>
    <row r="12" spans="2:6" x14ac:dyDescent="0.3">
      <c r="D12" s="5" t="s">
        <v>3</v>
      </c>
      <c r="E12" s="5"/>
    </row>
    <row r="14" spans="2:6" x14ac:dyDescent="0.3">
      <c r="C14" s="3" t="s">
        <v>0</v>
      </c>
      <c r="D14" s="3" t="s">
        <v>1</v>
      </c>
      <c r="E14" s="3" t="s">
        <v>1</v>
      </c>
      <c r="F14" s="3" t="s">
        <v>2</v>
      </c>
    </row>
    <row r="15" spans="2:6" x14ac:dyDescent="0.3">
      <c r="B15" s="6" t="s">
        <v>5</v>
      </c>
      <c r="C15" s="1">
        <v>60</v>
      </c>
      <c r="D15" s="1">
        <v>60</v>
      </c>
      <c r="E15" s="1">
        <v>60</v>
      </c>
      <c r="F15" s="1">
        <v>0</v>
      </c>
    </row>
    <row r="16" spans="2:6" x14ac:dyDescent="0.3">
      <c r="B16" s="6" t="s">
        <v>6</v>
      </c>
      <c r="C16" s="1">
        <v>60</v>
      </c>
      <c r="D16" s="1">
        <v>60</v>
      </c>
      <c r="E16" s="1">
        <v>50</v>
      </c>
      <c r="F16" s="1">
        <f>180-(E16+D16+C16)</f>
        <v>10</v>
      </c>
    </row>
    <row r="17" spans="2:8" x14ac:dyDescent="0.3">
      <c r="B17" s="6" t="s">
        <v>7</v>
      </c>
      <c r="C17" s="1">
        <v>50</v>
      </c>
      <c r="D17" s="1">
        <v>50</v>
      </c>
      <c r="E17" s="1">
        <v>50</v>
      </c>
      <c r="F17" s="1">
        <f t="shared" ref="F17:F21" si="0">180-(E17+D17+C17)</f>
        <v>30</v>
      </c>
    </row>
    <row r="18" spans="2:8" x14ac:dyDescent="0.3">
      <c r="B18" s="6" t="s">
        <v>8</v>
      </c>
      <c r="C18" s="1">
        <v>70</v>
      </c>
      <c r="D18" s="1">
        <v>70</v>
      </c>
      <c r="E18" s="1">
        <v>0</v>
      </c>
      <c r="F18" s="1">
        <f t="shared" si="0"/>
        <v>40</v>
      </c>
    </row>
    <row r="19" spans="2:8" x14ac:dyDescent="0.3">
      <c r="B19" s="6" t="s">
        <v>9</v>
      </c>
      <c r="C19" s="1">
        <v>50</v>
      </c>
      <c r="D19" s="1">
        <v>50</v>
      </c>
      <c r="E19" s="1">
        <v>70</v>
      </c>
      <c r="F19" s="1">
        <f t="shared" si="0"/>
        <v>10</v>
      </c>
    </row>
    <row r="20" spans="2:8" x14ac:dyDescent="0.3">
      <c r="B20" s="6" t="s">
        <v>10</v>
      </c>
      <c r="C20" s="1">
        <v>50</v>
      </c>
      <c r="D20" s="1">
        <v>70</v>
      </c>
      <c r="E20" s="1">
        <v>60</v>
      </c>
      <c r="F20" s="1">
        <f t="shared" si="0"/>
        <v>0</v>
      </c>
    </row>
    <row r="21" spans="2:8" x14ac:dyDescent="0.3">
      <c r="B21" s="6" t="s">
        <v>11</v>
      </c>
      <c r="C21" s="1">
        <v>50</v>
      </c>
      <c r="D21" s="1">
        <v>50</v>
      </c>
      <c r="E21" s="1">
        <v>60</v>
      </c>
      <c r="F21" s="1">
        <f t="shared" si="0"/>
        <v>20</v>
      </c>
    </row>
    <row r="22" spans="2:8" x14ac:dyDescent="0.3">
      <c r="B22" s="6"/>
      <c r="C22" s="1"/>
      <c r="D22" s="1"/>
      <c r="E22" s="1"/>
      <c r="F22" s="1"/>
    </row>
    <row r="23" spans="2:8" x14ac:dyDescent="0.3">
      <c r="C23" s="1"/>
      <c r="D23" s="1"/>
      <c r="E23" s="1"/>
      <c r="F23" s="1"/>
    </row>
    <row r="24" spans="2:8" x14ac:dyDescent="0.3">
      <c r="B24" s="6" t="s">
        <v>4</v>
      </c>
      <c r="C24" s="10" t="s">
        <v>12</v>
      </c>
      <c r="D24" s="1"/>
      <c r="E24" s="1"/>
      <c r="F24" s="1"/>
    </row>
    <row r="25" spans="2:8" x14ac:dyDescent="0.3">
      <c r="B25" s="6" t="s">
        <v>13</v>
      </c>
      <c r="C25" s="11" t="s">
        <v>21</v>
      </c>
      <c r="D25" s="1"/>
      <c r="E25" s="1"/>
      <c r="F25" s="1"/>
    </row>
    <row r="26" spans="2:8" x14ac:dyDescent="0.3">
      <c r="C26" s="1"/>
      <c r="D26" s="1"/>
      <c r="E26" s="1"/>
      <c r="F26" s="1"/>
    </row>
    <row r="27" spans="2:8" x14ac:dyDescent="0.3">
      <c r="B27" s="6" t="s">
        <v>14</v>
      </c>
      <c r="G27" t="s">
        <v>31</v>
      </c>
    </row>
    <row r="28" spans="2:8" x14ac:dyDescent="0.3">
      <c r="C28" t="s">
        <v>15</v>
      </c>
      <c r="G28" t="s">
        <v>18</v>
      </c>
    </row>
    <row r="29" spans="2:8" x14ac:dyDescent="0.3">
      <c r="C29" t="s">
        <v>16</v>
      </c>
      <c r="G29" t="s">
        <v>19</v>
      </c>
    </row>
    <row r="30" spans="2:8" x14ac:dyDescent="0.3">
      <c r="C30" t="s">
        <v>17</v>
      </c>
      <c r="G30" t="s">
        <v>20</v>
      </c>
    </row>
    <row r="31" spans="2:8" x14ac:dyDescent="0.3">
      <c r="C31" t="s">
        <v>89</v>
      </c>
    </row>
    <row r="32" spans="2:8" x14ac:dyDescent="0.3">
      <c r="H32" t="s">
        <v>30</v>
      </c>
    </row>
    <row r="33" spans="3:16" x14ac:dyDescent="0.3">
      <c r="C33" s="2" t="s">
        <v>22</v>
      </c>
    </row>
    <row r="34" spans="3:16" x14ac:dyDescent="0.3">
      <c r="C34" s="16" t="s">
        <v>23</v>
      </c>
      <c r="D34" s="17" t="s">
        <v>24</v>
      </c>
      <c r="E34" s="17" t="s">
        <v>5</v>
      </c>
      <c r="F34" s="17" t="s">
        <v>6</v>
      </c>
      <c r="G34" s="17" t="s">
        <v>7</v>
      </c>
      <c r="H34" s="17" t="s">
        <v>8</v>
      </c>
      <c r="I34" s="17" t="s">
        <v>9</v>
      </c>
      <c r="J34" s="17" t="s">
        <v>10</v>
      </c>
      <c r="K34" s="17" t="s">
        <v>11</v>
      </c>
      <c r="L34" s="17" t="s">
        <v>25</v>
      </c>
      <c r="M34" s="17" t="s">
        <v>26</v>
      </c>
      <c r="N34" s="17" t="s">
        <v>27</v>
      </c>
      <c r="O34" s="17" t="s">
        <v>28</v>
      </c>
      <c r="P34" s="17" t="s">
        <v>29</v>
      </c>
    </row>
    <row r="35" spans="3:16" x14ac:dyDescent="0.3">
      <c r="C35" s="18" t="s">
        <v>24</v>
      </c>
      <c r="D35" s="1">
        <v>1</v>
      </c>
      <c r="E35" s="1">
        <v>0</v>
      </c>
      <c r="F35" s="1">
        <v>-10</v>
      </c>
      <c r="G35" s="1">
        <v>-30</v>
      </c>
      <c r="H35" s="1">
        <v>-40</v>
      </c>
      <c r="I35" s="1">
        <v>-10</v>
      </c>
      <c r="J35" s="1">
        <v>0</v>
      </c>
      <c r="K35" s="1">
        <v>-20</v>
      </c>
      <c r="L35" s="1">
        <v>-1000</v>
      </c>
      <c r="M35" s="1">
        <v>-1000</v>
      </c>
      <c r="N35" s="1">
        <v>-1000</v>
      </c>
      <c r="O35" s="1">
        <v>0</v>
      </c>
      <c r="P35" s="1"/>
    </row>
    <row r="36" spans="3:16" x14ac:dyDescent="0.3">
      <c r="C36" s="18" t="s">
        <v>25</v>
      </c>
      <c r="D36" s="1">
        <v>0</v>
      </c>
      <c r="E36" s="1">
        <v>3</v>
      </c>
      <c r="F36" s="1">
        <v>2</v>
      </c>
      <c r="G36" s="1">
        <v>0</v>
      </c>
      <c r="H36" s="1">
        <v>0</v>
      </c>
      <c r="I36" s="1">
        <v>0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5000</v>
      </c>
    </row>
    <row r="37" spans="3:16" x14ac:dyDescent="0.3">
      <c r="C37" s="18" t="s">
        <v>26</v>
      </c>
      <c r="D37" s="1">
        <v>0</v>
      </c>
      <c r="E37" s="1">
        <v>0</v>
      </c>
      <c r="F37" s="1">
        <v>0</v>
      </c>
      <c r="G37" s="1">
        <v>0</v>
      </c>
      <c r="H37" s="1">
        <v>2</v>
      </c>
      <c r="I37" s="1">
        <v>1</v>
      </c>
      <c r="J37" s="1">
        <v>1</v>
      </c>
      <c r="K37" s="1">
        <v>0</v>
      </c>
      <c r="L37" s="1">
        <v>0</v>
      </c>
      <c r="M37" s="1">
        <v>1</v>
      </c>
      <c r="N37" s="1">
        <v>0</v>
      </c>
      <c r="O37" s="1">
        <v>15000</v>
      </c>
    </row>
    <row r="38" spans="3:16" x14ac:dyDescent="0.3">
      <c r="C38" s="18" t="s">
        <v>27</v>
      </c>
      <c r="D38" s="1">
        <v>0</v>
      </c>
      <c r="E38" s="1">
        <v>0</v>
      </c>
      <c r="F38" s="1">
        <v>1</v>
      </c>
      <c r="G38" s="1">
        <v>3</v>
      </c>
      <c r="H38" s="1">
        <v>0</v>
      </c>
      <c r="I38" s="1">
        <v>2</v>
      </c>
      <c r="J38" s="1">
        <v>1</v>
      </c>
      <c r="K38" s="1">
        <v>2</v>
      </c>
      <c r="L38" s="1">
        <v>0</v>
      </c>
      <c r="M38" s="1">
        <v>0</v>
      </c>
      <c r="N38" s="1">
        <v>1</v>
      </c>
      <c r="O38" s="1">
        <v>5000</v>
      </c>
    </row>
    <row r="40" spans="3:16" x14ac:dyDescent="0.3">
      <c r="C40" s="28" t="s">
        <v>32</v>
      </c>
    </row>
    <row r="41" spans="3:16" x14ac:dyDescent="0.3">
      <c r="C41" s="16" t="s">
        <v>23</v>
      </c>
      <c r="D41" s="17" t="s">
        <v>24</v>
      </c>
      <c r="E41" s="17" t="s">
        <v>5</v>
      </c>
      <c r="F41" s="17" t="s">
        <v>6</v>
      </c>
      <c r="G41" s="17" t="s">
        <v>7</v>
      </c>
      <c r="H41" s="17" t="s">
        <v>8</v>
      </c>
      <c r="I41" s="17" t="s">
        <v>9</v>
      </c>
      <c r="J41" s="17" t="s">
        <v>10</v>
      </c>
      <c r="K41" s="17" t="s">
        <v>11</v>
      </c>
      <c r="L41" s="17" t="s">
        <v>25</v>
      </c>
      <c r="M41" s="17" t="s">
        <v>26</v>
      </c>
      <c r="N41" s="17" t="s">
        <v>27</v>
      </c>
      <c r="O41" s="17" t="s">
        <v>28</v>
      </c>
    </row>
    <row r="42" spans="3:16" x14ac:dyDescent="0.3">
      <c r="C42" s="18" t="s">
        <v>24</v>
      </c>
      <c r="D42" s="1">
        <v>1</v>
      </c>
      <c r="E42" s="1">
        <v>0</v>
      </c>
      <c r="F42" s="1">
        <v>-10</v>
      </c>
      <c r="G42" s="1">
        <v>-30</v>
      </c>
      <c r="H42" s="1">
        <v>-40</v>
      </c>
      <c r="I42" s="1">
        <v>-10</v>
      </c>
      <c r="J42" s="1">
        <v>0</v>
      </c>
      <c r="K42" s="1">
        <v>-20</v>
      </c>
      <c r="L42" s="1">
        <v>-1000</v>
      </c>
      <c r="M42" s="1">
        <v>-1000</v>
      </c>
      <c r="N42" s="1">
        <v>-1000</v>
      </c>
      <c r="O42" s="1">
        <v>0</v>
      </c>
    </row>
    <row r="43" spans="3:16" x14ac:dyDescent="0.3">
      <c r="C43" s="18" t="s">
        <v>25</v>
      </c>
      <c r="D43" s="1">
        <v>0</v>
      </c>
      <c r="E43" s="1">
        <v>3</v>
      </c>
      <c r="F43" s="1">
        <v>2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1</v>
      </c>
      <c r="M43" s="1">
        <v>0</v>
      </c>
      <c r="N43" s="1">
        <v>0</v>
      </c>
      <c r="O43" s="1">
        <v>5000</v>
      </c>
    </row>
    <row r="44" spans="3:16" x14ac:dyDescent="0.3">
      <c r="C44" s="18" t="s">
        <v>26</v>
      </c>
      <c r="D44" s="1">
        <v>0</v>
      </c>
      <c r="E44" s="1">
        <v>0</v>
      </c>
      <c r="F44" s="1">
        <v>0</v>
      </c>
      <c r="G44" s="1">
        <v>0</v>
      </c>
      <c r="H44" s="1">
        <v>2</v>
      </c>
      <c r="I44" s="1">
        <v>1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  <c r="O44" s="1">
        <v>15000</v>
      </c>
    </row>
    <row r="45" spans="3:16" x14ac:dyDescent="0.3">
      <c r="C45" s="19" t="s">
        <v>27</v>
      </c>
      <c r="D45" s="12">
        <v>0</v>
      </c>
      <c r="E45" s="12">
        <v>0</v>
      </c>
      <c r="F45" s="12">
        <v>1</v>
      </c>
      <c r="G45" s="12">
        <v>3</v>
      </c>
      <c r="H45" s="12">
        <v>0</v>
      </c>
      <c r="I45" s="12">
        <v>2</v>
      </c>
      <c r="J45" s="12">
        <v>1</v>
      </c>
      <c r="K45" s="12">
        <v>2</v>
      </c>
      <c r="L45" s="12">
        <v>0</v>
      </c>
      <c r="M45" s="12">
        <v>0</v>
      </c>
      <c r="N45" s="12">
        <v>1</v>
      </c>
      <c r="O45" s="12">
        <v>5000</v>
      </c>
    </row>
    <row r="46" spans="3:16" x14ac:dyDescent="0.3">
      <c r="C46" s="18" t="s">
        <v>24</v>
      </c>
      <c r="D46" s="1">
        <f>D42+1000*(D43+D44+D45)</f>
        <v>1</v>
      </c>
      <c r="E46" s="1">
        <f t="shared" ref="E46:O46" si="1">E42+1000*(E43+E44+E45)</f>
        <v>3000</v>
      </c>
      <c r="F46" s="1">
        <f t="shared" si="1"/>
        <v>2990</v>
      </c>
      <c r="G46" s="1">
        <f t="shared" si="1"/>
        <v>2970</v>
      </c>
      <c r="H46" s="1">
        <f t="shared" si="1"/>
        <v>1960</v>
      </c>
      <c r="I46" s="1">
        <f t="shared" si="1"/>
        <v>2990</v>
      </c>
      <c r="J46" s="1">
        <f t="shared" si="1"/>
        <v>3000</v>
      </c>
      <c r="K46" s="1">
        <f>K42+1000*(K43+K44+K45)</f>
        <v>2980</v>
      </c>
      <c r="L46" s="1">
        <f t="shared" si="1"/>
        <v>0</v>
      </c>
      <c r="M46" s="1">
        <f t="shared" si="1"/>
        <v>0</v>
      </c>
      <c r="N46" s="1">
        <f t="shared" si="1"/>
        <v>0</v>
      </c>
      <c r="O46" s="1">
        <f t="shared" si="1"/>
        <v>25000000</v>
      </c>
    </row>
    <row r="47" spans="3:16" x14ac:dyDescent="0.3"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9" spans="2:17" x14ac:dyDescent="0.3">
      <c r="C49" s="2" t="s">
        <v>33</v>
      </c>
      <c r="E49" s="1" t="s">
        <v>34</v>
      </c>
    </row>
    <row r="50" spans="2:17" x14ac:dyDescent="0.3">
      <c r="C50" s="16" t="s">
        <v>23</v>
      </c>
      <c r="D50" s="17" t="s">
        <v>24</v>
      </c>
      <c r="E50" s="20" t="s">
        <v>5</v>
      </c>
      <c r="F50" s="17" t="s">
        <v>6</v>
      </c>
      <c r="G50" s="17" t="s">
        <v>7</v>
      </c>
      <c r="H50" s="17" t="s">
        <v>8</v>
      </c>
      <c r="I50" s="17" t="s">
        <v>9</v>
      </c>
      <c r="J50" s="17" t="s">
        <v>10</v>
      </c>
      <c r="K50" s="17" t="s">
        <v>11</v>
      </c>
      <c r="L50" s="17" t="s">
        <v>25</v>
      </c>
      <c r="M50" s="17" t="s">
        <v>26</v>
      </c>
      <c r="N50" s="17" t="s">
        <v>27</v>
      </c>
      <c r="O50" s="17" t="s">
        <v>28</v>
      </c>
      <c r="P50" s="17" t="s">
        <v>29</v>
      </c>
    </row>
    <row r="51" spans="2:17" x14ac:dyDescent="0.3">
      <c r="C51" s="18" t="s">
        <v>24</v>
      </c>
      <c r="D51" s="1">
        <v>1</v>
      </c>
      <c r="E51" s="14">
        <v>3000</v>
      </c>
      <c r="F51" s="1">
        <v>2990</v>
      </c>
      <c r="G51" s="1">
        <v>2970</v>
      </c>
      <c r="H51" s="1">
        <v>1960</v>
      </c>
      <c r="I51" s="1">
        <v>2990</v>
      </c>
      <c r="J51" s="1">
        <v>3000</v>
      </c>
      <c r="K51" s="1">
        <v>2980</v>
      </c>
      <c r="L51" s="1">
        <v>0</v>
      </c>
      <c r="M51" s="1">
        <v>0</v>
      </c>
      <c r="N51" s="1">
        <v>0</v>
      </c>
      <c r="O51" s="1">
        <v>25000000</v>
      </c>
      <c r="P51" s="1" t="s">
        <v>35</v>
      </c>
    </row>
    <row r="52" spans="2:17" x14ac:dyDescent="0.3">
      <c r="B52" s="6" t="s">
        <v>38</v>
      </c>
      <c r="C52" s="13" t="s">
        <v>25</v>
      </c>
      <c r="D52" s="14">
        <v>0</v>
      </c>
      <c r="E52" s="14">
        <v>3</v>
      </c>
      <c r="F52" s="14">
        <v>2</v>
      </c>
      <c r="G52" s="14">
        <v>0</v>
      </c>
      <c r="H52" s="14">
        <v>0</v>
      </c>
      <c r="I52" s="14">
        <v>0</v>
      </c>
      <c r="J52" s="14">
        <v>1</v>
      </c>
      <c r="K52" s="14">
        <v>1</v>
      </c>
      <c r="L52" s="14">
        <v>1</v>
      </c>
      <c r="M52" s="14">
        <v>0</v>
      </c>
      <c r="N52" s="14">
        <v>0</v>
      </c>
      <c r="O52" s="14">
        <v>5000</v>
      </c>
      <c r="P52" s="21">
        <f>O52/E52</f>
        <v>1666.6666666666667</v>
      </c>
      <c r="Q52" t="s">
        <v>36</v>
      </c>
    </row>
    <row r="53" spans="2:17" x14ac:dyDescent="0.3">
      <c r="C53" s="18" t="s">
        <v>26</v>
      </c>
      <c r="D53" s="1">
        <v>0</v>
      </c>
      <c r="E53" s="14">
        <v>0</v>
      </c>
      <c r="F53" s="1">
        <v>0</v>
      </c>
      <c r="G53" s="1">
        <v>0</v>
      </c>
      <c r="H53" s="1">
        <v>2</v>
      </c>
      <c r="I53" s="1">
        <v>1</v>
      </c>
      <c r="J53" s="1">
        <v>1</v>
      </c>
      <c r="K53" s="1">
        <v>0</v>
      </c>
      <c r="L53" s="1">
        <v>0</v>
      </c>
      <c r="M53" s="1">
        <v>1</v>
      </c>
      <c r="N53" s="1">
        <v>0</v>
      </c>
      <c r="O53" s="1">
        <v>15000</v>
      </c>
      <c r="P53" t="e">
        <f t="shared" ref="P53:P54" si="2">O53/E53</f>
        <v>#DIV/0!</v>
      </c>
      <c r="Q53" t="s">
        <v>39</v>
      </c>
    </row>
    <row r="54" spans="2:17" x14ac:dyDescent="0.3">
      <c r="C54" s="18" t="s">
        <v>27</v>
      </c>
      <c r="D54" s="1">
        <v>0</v>
      </c>
      <c r="E54" s="14">
        <v>0</v>
      </c>
      <c r="F54" s="1">
        <v>1</v>
      </c>
      <c r="G54" s="1">
        <v>3</v>
      </c>
      <c r="H54" s="1">
        <v>0</v>
      </c>
      <c r="I54" s="1">
        <v>2</v>
      </c>
      <c r="J54" s="1">
        <v>1</v>
      </c>
      <c r="K54" s="1">
        <v>2</v>
      </c>
      <c r="L54" s="1">
        <v>0</v>
      </c>
      <c r="M54" s="1">
        <v>0</v>
      </c>
      <c r="N54" s="1">
        <v>1</v>
      </c>
      <c r="O54" s="1">
        <v>5000</v>
      </c>
      <c r="P54" t="e">
        <f t="shared" si="2"/>
        <v>#DIV/0!</v>
      </c>
      <c r="Q54" t="s">
        <v>39</v>
      </c>
    </row>
    <row r="57" spans="2:17" x14ac:dyDescent="0.3">
      <c r="C57" s="2" t="s">
        <v>40</v>
      </c>
      <c r="E57" s="1"/>
      <c r="I57" s="1" t="s">
        <v>34</v>
      </c>
    </row>
    <row r="58" spans="2:17" x14ac:dyDescent="0.3">
      <c r="C58" s="16" t="s">
        <v>23</v>
      </c>
      <c r="D58" s="17" t="s">
        <v>24</v>
      </c>
      <c r="E58" s="17" t="s">
        <v>5</v>
      </c>
      <c r="F58" s="17" t="s">
        <v>6</v>
      </c>
      <c r="G58" s="17" t="s">
        <v>7</v>
      </c>
      <c r="H58" s="17" t="s">
        <v>8</v>
      </c>
      <c r="I58" s="20" t="s">
        <v>9</v>
      </c>
      <c r="J58" s="17" t="s">
        <v>10</v>
      </c>
      <c r="K58" s="17" t="s">
        <v>11</v>
      </c>
      <c r="L58" s="17" t="s">
        <v>25</v>
      </c>
      <c r="M58" s="17" t="s">
        <v>26</v>
      </c>
      <c r="N58" s="17" t="s">
        <v>27</v>
      </c>
      <c r="O58" s="17" t="s">
        <v>28</v>
      </c>
      <c r="P58" s="17" t="s">
        <v>29</v>
      </c>
    </row>
    <row r="59" spans="2:17" x14ac:dyDescent="0.3">
      <c r="C59" s="18" t="s">
        <v>24</v>
      </c>
      <c r="D59" s="1">
        <f>D51-$E$51*D60</f>
        <v>1</v>
      </c>
      <c r="E59" s="1">
        <f t="shared" ref="E59:O59" si="3">E51-$E$51*E60</f>
        <v>0</v>
      </c>
      <c r="F59" s="1">
        <f t="shared" si="3"/>
        <v>990</v>
      </c>
      <c r="G59" s="1">
        <f t="shared" si="3"/>
        <v>2970</v>
      </c>
      <c r="H59" s="1">
        <f t="shared" si="3"/>
        <v>1960</v>
      </c>
      <c r="I59" s="14">
        <f t="shared" si="3"/>
        <v>2990</v>
      </c>
      <c r="J59" s="1">
        <f t="shared" si="3"/>
        <v>2000</v>
      </c>
      <c r="K59" s="1">
        <f>K51-$E$51*K60</f>
        <v>1980</v>
      </c>
      <c r="L59" s="1">
        <f t="shared" si="3"/>
        <v>-1000</v>
      </c>
      <c r="M59" s="1">
        <f t="shared" si="3"/>
        <v>0</v>
      </c>
      <c r="N59" s="1">
        <f t="shared" si="3"/>
        <v>0</v>
      </c>
      <c r="O59" s="1">
        <f t="shared" si="3"/>
        <v>20000000</v>
      </c>
      <c r="P59" s="1" t="s">
        <v>35</v>
      </c>
    </row>
    <row r="60" spans="2:17" x14ac:dyDescent="0.3">
      <c r="B60" s="6"/>
      <c r="C60" s="18" t="s">
        <v>5</v>
      </c>
      <c r="D60" s="22">
        <f>D52/$E$52</f>
        <v>0</v>
      </c>
      <c r="E60" s="22">
        <f t="shared" ref="E60:O60" si="4">E52/$E$52</f>
        <v>1</v>
      </c>
      <c r="F60" s="22">
        <f t="shared" si="4"/>
        <v>0.66666666666666663</v>
      </c>
      <c r="G60" s="22">
        <f t="shared" si="4"/>
        <v>0</v>
      </c>
      <c r="H60" s="22">
        <f t="shared" si="4"/>
        <v>0</v>
      </c>
      <c r="I60" s="23">
        <f t="shared" si="4"/>
        <v>0</v>
      </c>
      <c r="J60" s="22">
        <f t="shared" si="4"/>
        <v>0.33333333333333331</v>
      </c>
      <c r="K60" s="22">
        <f t="shared" si="4"/>
        <v>0.33333333333333331</v>
      </c>
      <c r="L60" s="22">
        <f t="shared" si="4"/>
        <v>0.33333333333333331</v>
      </c>
      <c r="M60" s="22">
        <f t="shared" si="4"/>
        <v>0</v>
      </c>
      <c r="N60" s="22">
        <f t="shared" si="4"/>
        <v>0</v>
      </c>
      <c r="O60" s="22">
        <f t="shared" si="4"/>
        <v>1666.6666666666667</v>
      </c>
      <c r="P60" s="1" t="e">
        <f>O60/I60</f>
        <v>#DIV/0!</v>
      </c>
      <c r="Q60" t="s">
        <v>39</v>
      </c>
    </row>
    <row r="61" spans="2:17" x14ac:dyDescent="0.3">
      <c r="C61" s="18" t="s">
        <v>26</v>
      </c>
      <c r="D61" s="1">
        <f>D53-$E$53*D60</f>
        <v>0</v>
      </c>
      <c r="E61" s="1">
        <f t="shared" ref="E61:O61" si="5">E53-$E$53*E60</f>
        <v>0</v>
      </c>
      <c r="F61" s="1">
        <f t="shared" si="5"/>
        <v>0</v>
      </c>
      <c r="G61" s="1">
        <f t="shared" si="5"/>
        <v>0</v>
      </c>
      <c r="H61" s="1">
        <f t="shared" si="5"/>
        <v>2</v>
      </c>
      <c r="I61" s="14">
        <f t="shared" si="5"/>
        <v>1</v>
      </c>
      <c r="J61" s="1">
        <f t="shared" si="5"/>
        <v>1</v>
      </c>
      <c r="K61" s="1">
        <f t="shared" si="5"/>
        <v>0</v>
      </c>
      <c r="L61" s="1">
        <f t="shared" si="5"/>
        <v>0</v>
      </c>
      <c r="M61" s="1">
        <f t="shared" si="5"/>
        <v>1</v>
      </c>
      <c r="N61" s="1">
        <f t="shared" si="5"/>
        <v>0</v>
      </c>
      <c r="O61" s="1">
        <f t="shared" si="5"/>
        <v>15000</v>
      </c>
      <c r="P61" s="1">
        <f t="shared" ref="P61:P62" si="6">O61/I61</f>
        <v>15000</v>
      </c>
      <c r="Q61" t="s">
        <v>39</v>
      </c>
    </row>
    <row r="62" spans="2:17" x14ac:dyDescent="0.3">
      <c r="B62" s="6" t="s">
        <v>38</v>
      </c>
      <c r="C62" s="13" t="s">
        <v>27</v>
      </c>
      <c r="D62" s="14">
        <f>D54-$E$54*D60</f>
        <v>0</v>
      </c>
      <c r="E62" s="14">
        <f t="shared" ref="E62:O62" si="7">E54-$E$54*E60</f>
        <v>0</v>
      </c>
      <c r="F62" s="14">
        <f t="shared" si="7"/>
        <v>1</v>
      </c>
      <c r="G62" s="14">
        <f t="shared" si="7"/>
        <v>3</v>
      </c>
      <c r="H62" s="14">
        <f t="shared" si="7"/>
        <v>0</v>
      </c>
      <c r="I62" s="14">
        <f t="shared" si="7"/>
        <v>2</v>
      </c>
      <c r="J62" s="14">
        <f t="shared" si="7"/>
        <v>1</v>
      </c>
      <c r="K62" s="14">
        <f>K54-$E$54*K60</f>
        <v>2</v>
      </c>
      <c r="L62" s="14">
        <f t="shared" si="7"/>
        <v>0</v>
      </c>
      <c r="M62" s="14">
        <f t="shared" si="7"/>
        <v>0</v>
      </c>
      <c r="N62" s="14">
        <f t="shared" si="7"/>
        <v>1</v>
      </c>
      <c r="O62" s="14">
        <f t="shared" si="7"/>
        <v>5000</v>
      </c>
      <c r="P62" s="14">
        <f t="shared" si="6"/>
        <v>2500</v>
      </c>
      <c r="Q62" t="s">
        <v>36</v>
      </c>
    </row>
    <row r="65" spans="2:17" x14ac:dyDescent="0.3">
      <c r="C65" s="2" t="s">
        <v>41</v>
      </c>
      <c r="H65" s="1" t="s">
        <v>34</v>
      </c>
      <c r="I65" s="1"/>
    </row>
    <row r="66" spans="2:17" x14ac:dyDescent="0.3">
      <c r="C66" s="16" t="s">
        <v>23</v>
      </c>
      <c r="D66" s="17" t="s">
        <v>24</v>
      </c>
      <c r="E66" s="17" t="s">
        <v>5</v>
      </c>
      <c r="F66" s="17" t="s">
        <v>6</v>
      </c>
      <c r="G66" s="17" t="s">
        <v>7</v>
      </c>
      <c r="H66" s="20" t="s">
        <v>8</v>
      </c>
      <c r="I66" s="17" t="s">
        <v>9</v>
      </c>
      <c r="J66" s="17" t="s">
        <v>10</v>
      </c>
      <c r="K66" s="17" t="s">
        <v>11</v>
      </c>
      <c r="L66" s="17" t="s">
        <v>25</v>
      </c>
      <c r="M66" s="17" t="s">
        <v>26</v>
      </c>
      <c r="N66" s="17" t="s">
        <v>27</v>
      </c>
      <c r="O66" s="17" t="s">
        <v>28</v>
      </c>
      <c r="P66" s="17" t="s">
        <v>29</v>
      </c>
    </row>
    <row r="67" spans="2:17" x14ac:dyDescent="0.3">
      <c r="C67" s="18" t="s">
        <v>24</v>
      </c>
      <c r="D67" s="1">
        <f>D59-$I$59*D70</f>
        <v>1</v>
      </c>
      <c r="E67" s="1">
        <f t="shared" ref="E67:O67" si="8">E59-$I$59*E70</f>
        <v>0</v>
      </c>
      <c r="F67" s="1">
        <f t="shared" si="8"/>
        <v>-505</v>
      </c>
      <c r="G67" s="1">
        <f t="shared" si="8"/>
        <v>-1515</v>
      </c>
      <c r="H67" s="14">
        <f t="shared" si="8"/>
        <v>1960</v>
      </c>
      <c r="I67" s="1">
        <f t="shared" si="8"/>
        <v>0</v>
      </c>
      <c r="J67" s="1">
        <f t="shared" si="8"/>
        <v>505</v>
      </c>
      <c r="K67" s="1">
        <f t="shared" si="8"/>
        <v>-1010</v>
      </c>
      <c r="L67" s="1">
        <f t="shared" si="8"/>
        <v>-1000</v>
      </c>
      <c r="M67" s="1">
        <f t="shared" si="8"/>
        <v>0</v>
      </c>
      <c r="N67" s="1">
        <f t="shared" si="8"/>
        <v>-1495</v>
      </c>
      <c r="O67" s="1">
        <f t="shared" si="8"/>
        <v>12525000</v>
      </c>
      <c r="P67" s="1" t="s">
        <v>35</v>
      </c>
    </row>
    <row r="68" spans="2:17" x14ac:dyDescent="0.3">
      <c r="C68" s="18" t="s">
        <v>5</v>
      </c>
      <c r="D68" s="1">
        <f>D60-$I$60*D70</f>
        <v>0</v>
      </c>
      <c r="E68" s="1">
        <f t="shared" ref="E68:O68" si="9">E60-$I$60*E70</f>
        <v>1</v>
      </c>
      <c r="F68" s="1">
        <f t="shared" si="9"/>
        <v>0.66666666666666663</v>
      </c>
      <c r="G68" s="1">
        <f t="shared" si="9"/>
        <v>0</v>
      </c>
      <c r="H68" s="14">
        <f t="shared" si="9"/>
        <v>0</v>
      </c>
      <c r="I68" s="1">
        <f t="shared" si="9"/>
        <v>0</v>
      </c>
      <c r="J68" s="1">
        <f t="shared" si="9"/>
        <v>0.33333333333333331</v>
      </c>
      <c r="K68" s="1">
        <f t="shared" si="9"/>
        <v>0.33333333333333331</v>
      </c>
      <c r="L68" s="1">
        <f t="shared" si="9"/>
        <v>0.33333333333333331</v>
      </c>
      <c r="M68" s="1">
        <f t="shared" si="9"/>
        <v>0</v>
      </c>
      <c r="N68" s="1">
        <f t="shared" si="9"/>
        <v>0</v>
      </c>
      <c r="O68" s="1">
        <f t="shared" si="9"/>
        <v>1666.6666666666667</v>
      </c>
      <c r="P68" s="1" t="e">
        <f>O68/H68</f>
        <v>#DIV/0!</v>
      </c>
      <c r="Q68" t="s">
        <v>39</v>
      </c>
    </row>
    <row r="69" spans="2:17" x14ac:dyDescent="0.3">
      <c r="B69" s="6" t="s">
        <v>38</v>
      </c>
      <c r="C69" s="13" t="s">
        <v>26</v>
      </c>
      <c r="D69" s="14">
        <f>D61-$I$61*D70</f>
        <v>0</v>
      </c>
      <c r="E69" s="14">
        <f t="shared" ref="E69:O69" si="10">E61-$I$61*E70</f>
        <v>0</v>
      </c>
      <c r="F69" s="14">
        <f t="shared" si="10"/>
        <v>-0.5</v>
      </c>
      <c r="G69" s="14">
        <f t="shared" si="10"/>
        <v>-1.5</v>
      </c>
      <c r="H69" s="14">
        <f t="shared" si="10"/>
        <v>2</v>
      </c>
      <c r="I69" s="14">
        <f t="shared" si="10"/>
        <v>0</v>
      </c>
      <c r="J69" s="14">
        <f t="shared" si="10"/>
        <v>0.5</v>
      </c>
      <c r="K69" s="14">
        <f t="shared" si="10"/>
        <v>-1</v>
      </c>
      <c r="L69" s="14">
        <f t="shared" si="10"/>
        <v>0</v>
      </c>
      <c r="M69" s="14">
        <f t="shared" si="10"/>
        <v>1</v>
      </c>
      <c r="N69" s="14">
        <f t="shared" si="10"/>
        <v>-0.5</v>
      </c>
      <c r="O69" s="14">
        <f t="shared" si="10"/>
        <v>12500</v>
      </c>
      <c r="P69" s="14">
        <f t="shared" ref="P69:P70" si="11">O69/H69</f>
        <v>6250</v>
      </c>
      <c r="Q69" t="s">
        <v>36</v>
      </c>
    </row>
    <row r="70" spans="2:17" x14ac:dyDescent="0.3">
      <c r="B70" s="6"/>
      <c r="C70" s="18" t="s">
        <v>9</v>
      </c>
      <c r="D70" s="22">
        <f>D62/$I$62</f>
        <v>0</v>
      </c>
      <c r="E70" s="22">
        <f t="shared" ref="E70:O70" si="12">E62/$I$62</f>
        <v>0</v>
      </c>
      <c r="F70" s="22">
        <f t="shared" si="12"/>
        <v>0.5</v>
      </c>
      <c r="G70" s="22">
        <f t="shared" si="12"/>
        <v>1.5</v>
      </c>
      <c r="H70" s="23">
        <f t="shared" si="12"/>
        <v>0</v>
      </c>
      <c r="I70" s="22">
        <f t="shared" si="12"/>
        <v>1</v>
      </c>
      <c r="J70" s="22">
        <f t="shared" si="12"/>
        <v>0.5</v>
      </c>
      <c r="K70" s="22">
        <f t="shared" si="12"/>
        <v>1</v>
      </c>
      <c r="L70" s="22">
        <f t="shared" si="12"/>
        <v>0</v>
      </c>
      <c r="M70" s="22">
        <f t="shared" si="12"/>
        <v>0</v>
      </c>
      <c r="N70" s="22">
        <f t="shared" si="12"/>
        <v>0.5</v>
      </c>
      <c r="O70" s="22">
        <f t="shared" si="12"/>
        <v>2500</v>
      </c>
      <c r="P70" s="1" t="e">
        <f t="shared" si="11"/>
        <v>#DIV/0!</v>
      </c>
      <c r="Q70" t="s">
        <v>39</v>
      </c>
    </row>
    <row r="71" spans="2:17" x14ac:dyDescent="0.3">
      <c r="B71" s="6"/>
      <c r="C71" s="15"/>
      <c r="D71" s="22"/>
      <c r="E71" s="22"/>
      <c r="F71" s="22"/>
      <c r="G71" s="22"/>
      <c r="H71" s="24"/>
      <c r="I71" s="22"/>
      <c r="J71" s="22"/>
      <c r="K71" s="22"/>
      <c r="L71" s="22"/>
      <c r="M71" s="22"/>
      <c r="N71" s="22"/>
      <c r="O71" s="22"/>
      <c r="P71" s="1"/>
    </row>
    <row r="73" spans="2:17" x14ac:dyDescent="0.3">
      <c r="C73" s="2" t="s">
        <v>42</v>
      </c>
      <c r="H73" s="1"/>
      <c r="J73" s="1" t="s">
        <v>34</v>
      </c>
    </row>
    <row r="74" spans="2:17" x14ac:dyDescent="0.3">
      <c r="C74" s="16" t="s">
        <v>23</v>
      </c>
      <c r="D74" s="17" t="s">
        <v>24</v>
      </c>
      <c r="E74" s="17" t="s">
        <v>5</v>
      </c>
      <c r="F74" s="17" t="s">
        <v>6</v>
      </c>
      <c r="G74" s="17" t="s">
        <v>7</v>
      </c>
      <c r="H74" s="17" t="s">
        <v>8</v>
      </c>
      <c r="I74" s="17" t="s">
        <v>9</v>
      </c>
      <c r="J74" s="20" t="s">
        <v>10</v>
      </c>
      <c r="K74" s="17" t="s">
        <v>11</v>
      </c>
      <c r="L74" s="17" t="s">
        <v>25</v>
      </c>
      <c r="M74" s="17" t="s">
        <v>26</v>
      </c>
      <c r="N74" s="17" t="s">
        <v>27</v>
      </c>
      <c r="O74" s="17" t="s">
        <v>28</v>
      </c>
      <c r="P74" s="17" t="s">
        <v>29</v>
      </c>
    </row>
    <row r="75" spans="2:17" x14ac:dyDescent="0.3">
      <c r="B75" s="6"/>
      <c r="C75" s="18" t="s">
        <v>24</v>
      </c>
      <c r="D75" s="1">
        <f>D67-$H$67*D77</f>
        <v>1</v>
      </c>
      <c r="E75" s="1">
        <f t="shared" ref="E75:O75" si="13">E67-$H$67*E77</f>
        <v>0</v>
      </c>
      <c r="F75" s="1">
        <f t="shared" si="13"/>
        <v>-15</v>
      </c>
      <c r="G75" s="1">
        <f t="shared" si="13"/>
        <v>-45</v>
      </c>
      <c r="H75" s="1">
        <f t="shared" si="13"/>
        <v>0</v>
      </c>
      <c r="I75" s="1">
        <f t="shared" si="13"/>
        <v>0</v>
      </c>
      <c r="J75" s="14">
        <f t="shared" si="13"/>
        <v>15</v>
      </c>
      <c r="K75" s="1">
        <f t="shared" si="13"/>
        <v>-30</v>
      </c>
      <c r="L75" s="1">
        <f t="shared" si="13"/>
        <v>-1000</v>
      </c>
      <c r="M75" s="1">
        <f t="shared" si="13"/>
        <v>-980</v>
      </c>
      <c r="N75" s="1">
        <f t="shared" si="13"/>
        <v>-1005</v>
      </c>
      <c r="O75" s="1">
        <f t="shared" si="13"/>
        <v>275000</v>
      </c>
      <c r="P75" s="1" t="s">
        <v>35</v>
      </c>
    </row>
    <row r="76" spans="2:17" x14ac:dyDescent="0.3">
      <c r="B76" s="6" t="s">
        <v>38</v>
      </c>
      <c r="C76" s="13" t="s">
        <v>5</v>
      </c>
      <c r="D76" s="14">
        <f>D68-$H$68*D77</f>
        <v>0</v>
      </c>
      <c r="E76" s="14">
        <f t="shared" ref="E76:O76" si="14">E68-$H$68*E77</f>
        <v>1</v>
      </c>
      <c r="F76" s="14">
        <f t="shared" si="14"/>
        <v>0.66666666666666663</v>
      </c>
      <c r="G76" s="14">
        <f t="shared" si="14"/>
        <v>0</v>
      </c>
      <c r="H76" s="14">
        <f t="shared" si="14"/>
        <v>0</v>
      </c>
      <c r="I76" s="14">
        <f t="shared" si="14"/>
        <v>0</v>
      </c>
      <c r="J76" s="14">
        <f t="shared" si="14"/>
        <v>0.33333333333333331</v>
      </c>
      <c r="K76" s="14">
        <f t="shared" si="14"/>
        <v>0.33333333333333331</v>
      </c>
      <c r="L76" s="14">
        <f t="shared" si="14"/>
        <v>0.33333333333333331</v>
      </c>
      <c r="M76" s="14">
        <f t="shared" si="14"/>
        <v>0</v>
      </c>
      <c r="N76" s="14">
        <f t="shared" si="14"/>
        <v>0</v>
      </c>
      <c r="O76" s="14">
        <f t="shared" si="14"/>
        <v>1666.6666666666667</v>
      </c>
      <c r="P76" s="14">
        <f>O76/J76</f>
        <v>5000.0000000000009</v>
      </c>
      <c r="Q76" t="s">
        <v>36</v>
      </c>
    </row>
    <row r="77" spans="2:17" x14ac:dyDescent="0.3">
      <c r="B77" s="6"/>
      <c r="C77" s="18" t="s">
        <v>8</v>
      </c>
      <c r="D77" s="22">
        <f>D69/$H$69</f>
        <v>0</v>
      </c>
      <c r="E77" s="22">
        <f t="shared" ref="E77:O77" si="15">E69/$H$69</f>
        <v>0</v>
      </c>
      <c r="F77" s="22">
        <f t="shared" si="15"/>
        <v>-0.25</v>
      </c>
      <c r="G77" s="22">
        <f t="shared" si="15"/>
        <v>-0.75</v>
      </c>
      <c r="H77" s="22">
        <f t="shared" si="15"/>
        <v>1</v>
      </c>
      <c r="I77" s="22">
        <f t="shared" si="15"/>
        <v>0</v>
      </c>
      <c r="J77" s="23">
        <f t="shared" si="15"/>
        <v>0.25</v>
      </c>
      <c r="K77" s="22">
        <f t="shared" si="15"/>
        <v>-0.5</v>
      </c>
      <c r="L77" s="22">
        <f t="shared" si="15"/>
        <v>0</v>
      </c>
      <c r="M77" s="22">
        <f t="shared" si="15"/>
        <v>0.5</v>
      </c>
      <c r="N77" s="22">
        <f t="shared" si="15"/>
        <v>-0.25</v>
      </c>
      <c r="O77" s="22">
        <f t="shared" si="15"/>
        <v>6250</v>
      </c>
      <c r="P77" s="1">
        <f t="shared" ref="P77:P78" si="16">O77/J77</f>
        <v>25000</v>
      </c>
    </row>
    <row r="78" spans="2:17" x14ac:dyDescent="0.3">
      <c r="B78" s="6"/>
      <c r="C78" s="18" t="s">
        <v>9</v>
      </c>
      <c r="D78" s="1">
        <f>D70-$H$70*D77</f>
        <v>0</v>
      </c>
      <c r="E78" s="1">
        <f t="shared" ref="E78:O78" si="17">E70-$H$70*E77</f>
        <v>0</v>
      </c>
      <c r="F78" s="1">
        <f t="shared" si="17"/>
        <v>0.5</v>
      </c>
      <c r="G78" s="1">
        <f t="shared" si="17"/>
        <v>1.5</v>
      </c>
      <c r="H78" s="1">
        <f t="shared" si="17"/>
        <v>0</v>
      </c>
      <c r="I78" s="1">
        <f t="shared" si="17"/>
        <v>1</v>
      </c>
      <c r="J78" s="14">
        <f t="shared" si="17"/>
        <v>0.5</v>
      </c>
      <c r="K78" s="1">
        <f t="shared" si="17"/>
        <v>1</v>
      </c>
      <c r="L78" s="1">
        <f t="shared" si="17"/>
        <v>0</v>
      </c>
      <c r="M78" s="1">
        <f t="shared" si="17"/>
        <v>0</v>
      </c>
      <c r="N78" s="1">
        <f t="shared" si="17"/>
        <v>0.5</v>
      </c>
      <c r="O78" s="1">
        <f t="shared" si="17"/>
        <v>2500</v>
      </c>
      <c r="P78" s="1">
        <f t="shared" si="16"/>
        <v>5000</v>
      </c>
    </row>
    <row r="81" spans="2:16" x14ac:dyDescent="0.3">
      <c r="C81" s="2" t="s">
        <v>43</v>
      </c>
      <c r="J81" t="s">
        <v>34</v>
      </c>
    </row>
    <row r="82" spans="2:16" x14ac:dyDescent="0.3">
      <c r="C82" s="16" t="s">
        <v>23</v>
      </c>
      <c r="D82" s="17" t="s">
        <v>24</v>
      </c>
      <c r="E82" s="17" t="s">
        <v>5</v>
      </c>
      <c r="F82" s="17" t="s">
        <v>6</v>
      </c>
      <c r="G82" s="17" t="s">
        <v>7</v>
      </c>
      <c r="H82" s="17" t="s">
        <v>8</v>
      </c>
      <c r="I82" s="17" t="s">
        <v>9</v>
      </c>
      <c r="J82" s="17" t="s">
        <v>10</v>
      </c>
      <c r="K82" s="17" t="s">
        <v>11</v>
      </c>
      <c r="L82" s="17" t="s">
        <v>25</v>
      </c>
      <c r="M82" s="17" t="s">
        <v>26</v>
      </c>
      <c r="N82" s="17" t="s">
        <v>27</v>
      </c>
      <c r="O82" s="17" t="s">
        <v>28</v>
      </c>
      <c r="P82" s="17" t="s">
        <v>44</v>
      </c>
    </row>
    <row r="83" spans="2:16" x14ac:dyDescent="0.3">
      <c r="B83" s="6"/>
      <c r="C83" s="18" t="s">
        <v>24</v>
      </c>
      <c r="D83" s="1">
        <f>D75-$J$75*D84</f>
        <v>1</v>
      </c>
      <c r="E83" s="1">
        <f t="shared" ref="E83:O83" si="18">E75-$J$75*E84</f>
        <v>-45</v>
      </c>
      <c r="F83" s="1">
        <f t="shared" si="18"/>
        <v>-45</v>
      </c>
      <c r="G83" s="1">
        <f t="shared" si="18"/>
        <v>-45</v>
      </c>
      <c r="H83" s="1">
        <f t="shared" si="18"/>
        <v>0</v>
      </c>
      <c r="I83" s="1">
        <f t="shared" si="18"/>
        <v>0</v>
      </c>
      <c r="J83" s="1">
        <f t="shared" si="18"/>
        <v>0</v>
      </c>
      <c r="K83" s="1">
        <f t="shared" si="18"/>
        <v>-45</v>
      </c>
      <c r="L83" s="1">
        <f t="shared" si="18"/>
        <v>-1015</v>
      </c>
      <c r="M83" s="1">
        <f t="shared" si="18"/>
        <v>-980</v>
      </c>
      <c r="N83" s="1">
        <f t="shared" si="18"/>
        <v>-1005</v>
      </c>
      <c r="O83" s="1">
        <f t="shared" si="18"/>
        <v>200000</v>
      </c>
      <c r="P83" s="11" t="s">
        <v>45</v>
      </c>
    </row>
    <row r="84" spans="2:16" x14ac:dyDescent="0.3">
      <c r="B84" s="6" t="s">
        <v>38</v>
      </c>
      <c r="C84" s="18" t="s">
        <v>10</v>
      </c>
      <c r="D84" s="22">
        <f>D76/$J$76</f>
        <v>0</v>
      </c>
      <c r="E84" s="22">
        <f t="shared" ref="E84:O84" si="19">E76/$J$76</f>
        <v>3</v>
      </c>
      <c r="F84" s="22">
        <f t="shared" si="19"/>
        <v>2</v>
      </c>
      <c r="G84" s="22">
        <f t="shared" si="19"/>
        <v>0</v>
      </c>
      <c r="H84" s="22">
        <f t="shared" si="19"/>
        <v>0</v>
      </c>
      <c r="I84" s="22">
        <f t="shared" si="19"/>
        <v>0</v>
      </c>
      <c r="J84" s="22">
        <f t="shared" si="19"/>
        <v>1</v>
      </c>
      <c r="K84" s="22">
        <f t="shared" si="19"/>
        <v>1</v>
      </c>
      <c r="L84" s="22">
        <f t="shared" si="19"/>
        <v>1</v>
      </c>
      <c r="M84" s="22">
        <f t="shared" si="19"/>
        <v>0</v>
      </c>
      <c r="N84" s="22">
        <f t="shared" si="19"/>
        <v>0</v>
      </c>
      <c r="O84" s="22">
        <f t="shared" si="19"/>
        <v>5000.0000000000009</v>
      </c>
      <c r="P84" s="11" t="s">
        <v>46</v>
      </c>
    </row>
    <row r="85" spans="2:16" x14ac:dyDescent="0.3">
      <c r="B85" s="6"/>
      <c r="C85" s="18" t="s">
        <v>8</v>
      </c>
      <c r="D85" s="1">
        <f>D77-$J$77*D84</f>
        <v>0</v>
      </c>
      <c r="E85" s="1">
        <f t="shared" ref="E85:O85" si="20">E77-$J$77*E84</f>
        <v>-0.75</v>
      </c>
      <c r="F85" s="1">
        <f t="shared" si="20"/>
        <v>-0.75</v>
      </c>
      <c r="G85" s="1">
        <f t="shared" si="20"/>
        <v>-0.75</v>
      </c>
      <c r="H85" s="1">
        <f t="shared" si="20"/>
        <v>1</v>
      </c>
      <c r="I85" s="1">
        <f t="shared" si="20"/>
        <v>0</v>
      </c>
      <c r="J85" s="1">
        <f t="shared" si="20"/>
        <v>0</v>
      </c>
      <c r="K85" s="1">
        <f t="shared" si="20"/>
        <v>-0.75</v>
      </c>
      <c r="L85" s="1">
        <f t="shared" si="20"/>
        <v>-0.25</v>
      </c>
      <c r="M85" s="1">
        <f t="shared" si="20"/>
        <v>0.5</v>
      </c>
      <c r="N85" s="1">
        <f t="shared" si="20"/>
        <v>-0.25</v>
      </c>
      <c r="O85" s="1">
        <f t="shared" si="20"/>
        <v>5000</v>
      </c>
      <c r="P85" s="11" t="s">
        <v>47</v>
      </c>
    </row>
    <row r="86" spans="2:16" x14ac:dyDescent="0.3">
      <c r="B86" s="6"/>
      <c r="C86" s="18" t="s">
        <v>9</v>
      </c>
      <c r="D86" s="1">
        <f>D78-$J$78*D84</f>
        <v>0</v>
      </c>
      <c r="E86" s="1">
        <f t="shared" ref="E86:O86" si="21">E78-$J$78*E84</f>
        <v>-1.5</v>
      </c>
      <c r="F86" s="1">
        <f t="shared" si="21"/>
        <v>-0.5</v>
      </c>
      <c r="G86" s="1">
        <f t="shared" si="21"/>
        <v>1.5</v>
      </c>
      <c r="H86" s="1">
        <f t="shared" si="21"/>
        <v>0</v>
      </c>
      <c r="I86" s="1">
        <f t="shared" si="21"/>
        <v>1</v>
      </c>
      <c r="J86" s="1">
        <f t="shared" si="21"/>
        <v>0</v>
      </c>
      <c r="K86" s="1">
        <f t="shared" si="21"/>
        <v>0.5</v>
      </c>
      <c r="L86" s="1">
        <f t="shared" si="21"/>
        <v>-0.5</v>
      </c>
      <c r="M86" s="1">
        <f t="shared" si="21"/>
        <v>0</v>
      </c>
      <c r="N86" s="1">
        <f t="shared" si="21"/>
        <v>0.5</v>
      </c>
      <c r="O86" s="1">
        <f t="shared" si="21"/>
        <v>0</v>
      </c>
      <c r="P86" s="11" t="s">
        <v>48</v>
      </c>
    </row>
    <row r="87" spans="2:16" x14ac:dyDescent="0.3">
      <c r="P87" s="11" t="s">
        <v>49</v>
      </c>
    </row>
    <row r="88" spans="2:16" x14ac:dyDescent="0.3">
      <c r="P88" s="11" t="s">
        <v>50</v>
      </c>
    </row>
  </sheetData>
  <mergeCells count="1">
    <mergeCell ref="D12:E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CA9-F3CC-49F7-979B-1CA8EF02E26C}">
  <dimension ref="A2:Q80"/>
  <sheetViews>
    <sheetView topLeftCell="G3" zoomScale="130" zoomScaleNormal="130" workbookViewId="0">
      <selection activeCell="O15" sqref="O15"/>
    </sheetView>
  </sheetViews>
  <sheetFormatPr baseColWidth="10" defaultRowHeight="14.4" x14ac:dyDescent="0.3"/>
  <cols>
    <col min="6" max="6" width="12.21875" bestFit="1" customWidth="1"/>
    <col min="8" max="8" width="11.6640625" bestFit="1" customWidth="1"/>
    <col min="9" max="9" width="12.5546875" bestFit="1" customWidth="1"/>
    <col min="10" max="10" width="11.21875" customWidth="1"/>
    <col min="12" max="12" width="15" customWidth="1"/>
    <col min="14" max="14" width="15.5546875" customWidth="1"/>
    <col min="15" max="15" width="13.109375" customWidth="1"/>
  </cols>
  <sheetData>
    <row r="2" spans="12:17" x14ac:dyDescent="0.3">
      <c r="M2" s="4" t="s">
        <v>58</v>
      </c>
      <c r="N2" s="4"/>
    </row>
    <row r="3" spans="12:17" x14ac:dyDescent="0.3">
      <c r="M3" s="1" t="s">
        <v>5</v>
      </c>
      <c r="N3" s="1" t="s">
        <v>6</v>
      </c>
    </row>
    <row r="4" spans="12:17" x14ac:dyDescent="0.3">
      <c r="L4" s="25"/>
      <c r="M4" s="12" t="s">
        <v>51</v>
      </c>
      <c r="N4" s="12" t="s">
        <v>52</v>
      </c>
      <c r="O4" s="7" t="s">
        <v>54</v>
      </c>
    </row>
    <row r="5" spans="12:17" x14ac:dyDescent="0.3">
      <c r="L5" s="9" t="s">
        <v>55</v>
      </c>
      <c r="M5" s="1">
        <v>25</v>
      </c>
      <c r="N5" s="1">
        <v>8</v>
      </c>
      <c r="O5" s="1" t="s">
        <v>53</v>
      </c>
    </row>
    <row r="6" spans="12:17" x14ac:dyDescent="0.3">
      <c r="L6" s="9" t="s">
        <v>56</v>
      </c>
      <c r="M6" s="1"/>
      <c r="N6" s="1" t="s">
        <v>57</v>
      </c>
      <c r="O6" s="1"/>
    </row>
    <row r="7" spans="12:17" x14ac:dyDescent="0.3">
      <c r="L7" s="9" t="s">
        <v>59</v>
      </c>
      <c r="M7" s="26">
        <f>50/60</f>
        <v>0.83333333333333337</v>
      </c>
      <c r="N7" s="1">
        <v>1</v>
      </c>
      <c r="O7" s="1" t="s">
        <v>60</v>
      </c>
    </row>
    <row r="9" spans="12:17" x14ac:dyDescent="0.3">
      <c r="L9" s="15" t="s">
        <v>4</v>
      </c>
      <c r="M9" t="s">
        <v>62</v>
      </c>
    </row>
    <row r="10" spans="12:17" x14ac:dyDescent="0.3">
      <c r="L10" s="15" t="s">
        <v>13</v>
      </c>
      <c r="M10" t="s">
        <v>61</v>
      </c>
    </row>
    <row r="12" spans="12:17" x14ac:dyDescent="0.3">
      <c r="L12" s="15" t="s">
        <v>14</v>
      </c>
      <c r="O12" t="s">
        <v>63</v>
      </c>
    </row>
    <row r="13" spans="12:17" x14ac:dyDescent="0.3">
      <c r="M13" t="s">
        <v>106</v>
      </c>
      <c r="O13" t="s">
        <v>108</v>
      </c>
    </row>
    <row r="14" spans="12:17" x14ac:dyDescent="0.3">
      <c r="M14" t="s">
        <v>107</v>
      </c>
      <c r="O14" t="s">
        <v>109</v>
      </c>
      <c r="Q14" t="s">
        <v>67</v>
      </c>
    </row>
    <row r="15" spans="12:17" x14ac:dyDescent="0.3">
      <c r="M15" t="s">
        <v>104</v>
      </c>
      <c r="O15" t="s">
        <v>105</v>
      </c>
    </row>
    <row r="16" spans="12:17" x14ac:dyDescent="0.3">
      <c r="M16" t="s">
        <v>89</v>
      </c>
    </row>
    <row r="27" spans="2:11" x14ac:dyDescent="0.3">
      <c r="F27" t="s">
        <v>30</v>
      </c>
    </row>
    <row r="28" spans="2:11" x14ac:dyDescent="0.3">
      <c r="B28" s="2" t="s">
        <v>22</v>
      </c>
    </row>
    <row r="29" spans="2:11" x14ac:dyDescent="0.3">
      <c r="B29" s="16" t="s">
        <v>23</v>
      </c>
      <c r="C29" s="17" t="s">
        <v>24</v>
      </c>
      <c r="D29" s="17" t="s">
        <v>5</v>
      </c>
      <c r="E29" s="17" t="s">
        <v>6</v>
      </c>
      <c r="F29" s="17" t="s">
        <v>64</v>
      </c>
      <c r="G29" s="17" t="s">
        <v>65</v>
      </c>
      <c r="H29" s="17" t="s">
        <v>66</v>
      </c>
      <c r="I29" s="17" t="s">
        <v>25</v>
      </c>
      <c r="J29" s="17" t="s">
        <v>28</v>
      </c>
      <c r="K29" s="17" t="s">
        <v>29</v>
      </c>
    </row>
    <row r="30" spans="2:11" x14ac:dyDescent="0.3">
      <c r="B30" s="18" t="s">
        <v>24</v>
      </c>
      <c r="C30" s="1">
        <v>1</v>
      </c>
      <c r="D30" s="1">
        <v>-1</v>
      </c>
      <c r="E30" s="1">
        <v>-1</v>
      </c>
      <c r="F30" s="1">
        <v>0</v>
      </c>
      <c r="G30" s="1">
        <v>0</v>
      </c>
      <c r="H30" s="1">
        <v>0</v>
      </c>
      <c r="I30" s="1">
        <v>1000</v>
      </c>
      <c r="J30" s="1">
        <v>0</v>
      </c>
      <c r="K30" s="1"/>
    </row>
    <row r="31" spans="2:11" x14ac:dyDescent="0.3">
      <c r="B31" s="18" t="s">
        <v>65</v>
      </c>
      <c r="C31" s="1">
        <v>0</v>
      </c>
      <c r="D31" s="1">
        <v>0.6</v>
      </c>
      <c r="E31" s="1">
        <v>-1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/>
    </row>
    <row r="32" spans="2:11" x14ac:dyDescent="0.3">
      <c r="B32" s="18" t="s">
        <v>66</v>
      </c>
      <c r="C32" s="1">
        <v>0</v>
      </c>
      <c r="D32" s="1">
        <v>0.83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80</v>
      </c>
      <c r="K32" s="1"/>
    </row>
    <row r="33" spans="1:12" x14ac:dyDescent="0.3">
      <c r="B33" s="18" t="s">
        <v>25</v>
      </c>
      <c r="C33" s="1">
        <v>0</v>
      </c>
      <c r="D33" s="1">
        <v>25</v>
      </c>
      <c r="E33" s="1">
        <v>8</v>
      </c>
      <c r="F33" s="1">
        <v>-1</v>
      </c>
      <c r="G33" s="1">
        <v>0</v>
      </c>
      <c r="H33" s="1">
        <v>0</v>
      </c>
      <c r="I33" s="1">
        <v>1</v>
      </c>
      <c r="J33" s="1">
        <v>800</v>
      </c>
    </row>
    <row r="36" spans="1:12" x14ac:dyDescent="0.3">
      <c r="B36" s="28" t="s">
        <v>32</v>
      </c>
    </row>
    <row r="37" spans="1:12" x14ac:dyDescent="0.3">
      <c r="B37" s="16" t="s">
        <v>23</v>
      </c>
      <c r="C37" s="17" t="s">
        <v>24</v>
      </c>
      <c r="D37" s="17" t="s">
        <v>5</v>
      </c>
      <c r="E37" s="17" t="s">
        <v>6</v>
      </c>
      <c r="F37" s="17" t="s">
        <v>64</v>
      </c>
      <c r="G37" s="17" t="s">
        <v>65</v>
      </c>
      <c r="H37" s="17" t="s">
        <v>66</v>
      </c>
      <c r="I37" s="17" t="s">
        <v>25</v>
      </c>
      <c r="J37" s="17" t="s">
        <v>28</v>
      </c>
    </row>
    <row r="38" spans="1:12" x14ac:dyDescent="0.3">
      <c r="B38" s="18" t="s">
        <v>24</v>
      </c>
      <c r="C38" s="1">
        <v>1</v>
      </c>
      <c r="D38" s="1">
        <v>-1</v>
      </c>
      <c r="E38" s="1">
        <v>-1</v>
      </c>
      <c r="F38" s="1">
        <v>0</v>
      </c>
      <c r="G38" s="1">
        <v>0</v>
      </c>
      <c r="H38" s="1">
        <v>0</v>
      </c>
      <c r="I38" s="1">
        <v>1000</v>
      </c>
      <c r="J38" s="1">
        <v>0</v>
      </c>
    </row>
    <row r="39" spans="1:12" x14ac:dyDescent="0.3">
      <c r="B39" s="19" t="s">
        <v>25</v>
      </c>
      <c r="C39" s="12">
        <v>0</v>
      </c>
      <c r="D39" s="12">
        <v>25</v>
      </c>
      <c r="E39" s="12">
        <v>8</v>
      </c>
      <c r="F39" s="12">
        <v>-1</v>
      </c>
      <c r="G39" s="12">
        <v>0</v>
      </c>
      <c r="H39" s="12">
        <v>0</v>
      </c>
      <c r="I39" s="12">
        <v>1</v>
      </c>
      <c r="J39" s="12">
        <v>800</v>
      </c>
    </row>
    <row r="40" spans="1:12" x14ac:dyDescent="0.3">
      <c r="B40" s="8" t="s">
        <v>24</v>
      </c>
      <c r="C40" s="1">
        <f>C38-1000*C39</f>
        <v>1</v>
      </c>
      <c r="D40" s="1">
        <f>D38-1000*D39</f>
        <v>-25001</v>
      </c>
      <c r="E40" s="1">
        <f>E38-1000*E39</f>
        <v>-8001</v>
      </c>
      <c r="F40" s="1">
        <f t="shared" ref="D40:J40" si="0">F38-1000*F39</f>
        <v>1000</v>
      </c>
      <c r="G40" s="1">
        <f t="shared" si="0"/>
        <v>0</v>
      </c>
      <c r="H40" s="1">
        <f t="shared" si="0"/>
        <v>0</v>
      </c>
      <c r="I40" s="1">
        <f t="shared" si="0"/>
        <v>0</v>
      </c>
      <c r="J40" s="1">
        <f t="shared" si="0"/>
        <v>-800000</v>
      </c>
    </row>
    <row r="43" spans="1:12" x14ac:dyDescent="0.3">
      <c r="B43" s="2" t="s">
        <v>33</v>
      </c>
      <c r="D43" s="2" t="s">
        <v>34</v>
      </c>
    </row>
    <row r="44" spans="1:12" x14ac:dyDescent="0.3">
      <c r="B44" s="16" t="s">
        <v>23</v>
      </c>
      <c r="C44" s="17" t="s">
        <v>24</v>
      </c>
      <c r="D44" s="20" t="s">
        <v>5</v>
      </c>
      <c r="E44" s="17" t="s">
        <v>6</v>
      </c>
      <c r="F44" s="17" t="s">
        <v>64</v>
      </c>
      <c r="G44" s="17" t="s">
        <v>65</v>
      </c>
      <c r="H44" s="17" t="s">
        <v>66</v>
      </c>
      <c r="I44" s="17" t="s">
        <v>25</v>
      </c>
      <c r="J44" s="17" t="s">
        <v>28</v>
      </c>
      <c r="K44" s="17" t="s">
        <v>29</v>
      </c>
    </row>
    <row r="45" spans="1:12" x14ac:dyDescent="0.3">
      <c r="B45" s="18" t="s">
        <v>24</v>
      </c>
      <c r="C45" s="1">
        <v>1</v>
      </c>
      <c r="D45" s="14">
        <v>-25001</v>
      </c>
      <c r="E45" s="1">
        <v>-8001</v>
      </c>
      <c r="F45" s="1">
        <v>1000</v>
      </c>
      <c r="G45" s="1">
        <v>0</v>
      </c>
      <c r="H45" s="1">
        <v>0</v>
      </c>
      <c r="I45" s="1">
        <v>0</v>
      </c>
      <c r="J45" s="1">
        <v>-800000</v>
      </c>
      <c r="K45" s="1" t="s">
        <v>35</v>
      </c>
    </row>
    <row r="46" spans="1:12" x14ac:dyDescent="0.3">
      <c r="B46" s="18" t="s">
        <v>65</v>
      </c>
      <c r="C46" s="1">
        <v>0</v>
      </c>
      <c r="D46" s="14">
        <v>0.6</v>
      </c>
      <c r="E46" s="1">
        <v>-1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f>J46/D46</f>
        <v>0</v>
      </c>
    </row>
    <row r="47" spans="1:12" x14ac:dyDescent="0.3">
      <c r="B47" s="18" t="s">
        <v>66</v>
      </c>
      <c r="C47" s="1">
        <v>0</v>
      </c>
      <c r="D47" s="14">
        <v>0.83</v>
      </c>
      <c r="E47" s="1">
        <v>1</v>
      </c>
      <c r="F47" s="1">
        <v>0</v>
      </c>
      <c r="G47" s="1">
        <v>0</v>
      </c>
      <c r="H47" s="1">
        <v>1</v>
      </c>
      <c r="I47" s="1">
        <v>0</v>
      </c>
      <c r="J47" s="1">
        <v>80</v>
      </c>
      <c r="K47" s="1">
        <f t="shared" ref="K47:K48" si="1">J47/D47</f>
        <v>96.385542168674704</v>
      </c>
    </row>
    <row r="48" spans="1:12" x14ac:dyDescent="0.3">
      <c r="A48" s="29" t="s">
        <v>38</v>
      </c>
      <c r="B48" s="13" t="s">
        <v>25</v>
      </c>
      <c r="C48" s="14">
        <v>0</v>
      </c>
      <c r="D48" s="14">
        <v>25</v>
      </c>
      <c r="E48" s="14">
        <v>8</v>
      </c>
      <c r="F48" s="14">
        <v>-1</v>
      </c>
      <c r="G48" s="14">
        <v>0</v>
      </c>
      <c r="H48" s="14">
        <v>0</v>
      </c>
      <c r="I48" s="14">
        <v>1</v>
      </c>
      <c r="J48" s="14">
        <v>800</v>
      </c>
      <c r="K48" s="1">
        <f>J48/D48</f>
        <v>32</v>
      </c>
      <c r="L48" t="s">
        <v>36</v>
      </c>
    </row>
    <row r="51" spans="1:12" x14ac:dyDescent="0.3">
      <c r="B51" s="2" t="s">
        <v>40</v>
      </c>
      <c r="E51" s="2" t="s">
        <v>34</v>
      </c>
    </row>
    <row r="52" spans="1:12" x14ac:dyDescent="0.3">
      <c r="B52" s="16" t="s">
        <v>23</v>
      </c>
      <c r="C52" s="17" t="s">
        <v>24</v>
      </c>
      <c r="D52" s="17" t="s">
        <v>5</v>
      </c>
      <c r="E52" s="20" t="s">
        <v>6</v>
      </c>
      <c r="F52" s="17" t="s">
        <v>64</v>
      </c>
      <c r="G52" s="17" t="s">
        <v>65</v>
      </c>
      <c r="H52" s="17" t="s">
        <v>66</v>
      </c>
      <c r="I52" s="17" t="s">
        <v>25</v>
      </c>
      <c r="J52" s="17" t="s">
        <v>28</v>
      </c>
      <c r="K52" s="17" t="s">
        <v>29</v>
      </c>
    </row>
    <row r="53" spans="1:12" x14ac:dyDescent="0.3">
      <c r="A53" s="6"/>
      <c r="B53" s="18" t="s">
        <v>24</v>
      </c>
      <c r="C53" s="1">
        <f>C45-$D$45*C56</f>
        <v>1</v>
      </c>
      <c r="D53" s="1">
        <f t="shared" ref="D53:J53" si="2">D45-$D$45*D56</f>
        <v>0</v>
      </c>
      <c r="E53" s="14">
        <f t="shared" si="2"/>
        <v>-0.67999999999938154</v>
      </c>
      <c r="F53" s="1">
        <f t="shared" si="2"/>
        <v>-4.0000000000077307E-2</v>
      </c>
      <c r="G53" s="1">
        <f t="shared" si="2"/>
        <v>0</v>
      </c>
      <c r="H53" s="1">
        <f t="shared" si="2"/>
        <v>0</v>
      </c>
      <c r="I53" s="1">
        <f t="shared" si="2"/>
        <v>1000.0400000000001</v>
      </c>
      <c r="J53" s="1">
        <f t="shared" si="2"/>
        <v>32</v>
      </c>
      <c r="K53" s="1" t="s">
        <v>35</v>
      </c>
    </row>
    <row r="54" spans="1:12" x14ac:dyDescent="0.3">
      <c r="A54" s="29" t="s">
        <v>38</v>
      </c>
      <c r="B54" s="13" t="s">
        <v>65</v>
      </c>
      <c r="C54" s="14">
        <f>C46-$D$46*C56</f>
        <v>0</v>
      </c>
      <c r="D54" s="14">
        <f t="shared" ref="D54:J54" si="3">D46-$D$46*D56</f>
        <v>0</v>
      </c>
      <c r="E54" s="14">
        <f t="shared" si="3"/>
        <v>-1.1919999999999999</v>
      </c>
      <c r="F54" s="14">
        <f t="shared" si="3"/>
        <v>2.4E-2</v>
      </c>
      <c r="G54" s="14">
        <f t="shared" si="3"/>
        <v>1</v>
      </c>
      <c r="H54" s="14">
        <f t="shared" si="3"/>
        <v>0</v>
      </c>
      <c r="I54" s="14">
        <f t="shared" si="3"/>
        <v>-2.4E-2</v>
      </c>
      <c r="J54" s="14">
        <f t="shared" si="3"/>
        <v>-19.2</v>
      </c>
      <c r="K54" s="14">
        <f>J54/E54</f>
        <v>16.107382550335572</v>
      </c>
      <c r="L54" t="s">
        <v>36</v>
      </c>
    </row>
    <row r="55" spans="1:12" x14ac:dyDescent="0.3">
      <c r="A55" s="6"/>
      <c r="B55" s="18" t="s">
        <v>66</v>
      </c>
      <c r="C55" s="1">
        <f>C47-$D$47*C56</f>
        <v>0</v>
      </c>
      <c r="D55" s="1">
        <f t="shared" ref="D55:J55" si="4">D47-$D$47*D56</f>
        <v>0</v>
      </c>
      <c r="E55" s="14">
        <f t="shared" si="4"/>
        <v>0.73439999999999994</v>
      </c>
      <c r="F55" s="1">
        <f t="shared" si="4"/>
        <v>3.32E-2</v>
      </c>
      <c r="G55" s="1">
        <f t="shared" si="4"/>
        <v>0</v>
      </c>
      <c r="H55" s="1">
        <f t="shared" si="4"/>
        <v>1</v>
      </c>
      <c r="I55" s="1">
        <f t="shared" si="4"/>
        <v>-3.32E-2</v>
      </c>
      <c r="J55" s="1">
        <f t="shared" si="4"/>
        <v>53.44</v>
      </c>
      <c r="K55" s="1">
        <f>J55/E55</f>
        <v>72.766884531590421</v>
      </c>
    </row>
    <row r="56" spans="1:12" x14ac:dyDescent="0.3">
      <c r="A56" s="6"/>
      <c r="B56" s="18" t="s">
        <v>5</v>
      </c>
      <c r="C56" s="22">
        <f>C48/$D$48</f>
        <v>0</v>
      </c>
      <c r="D56" s="22">
        <f t="shared" ref="D56:J56" si="5">D48/$D$48</f>
        <v>1</v>
      </c>
      <c r="E56" s="23">
        <f t="shared" si="5"/>
        <v>0.32</v>
      </c>
      <c r="F56" s="22">
        <f t="shared" si="5"/>
        <v>-0.04</v>
      </c>
      <c r="G56" s="22">
        <f t="shared" si="5"/>
        <v>0</v>
      </c>
      <c r="H56" s="22">
        <f t="shared" si="5"/>
        <v>0</v>
      </c>
      <c r="I56" s="22">
        <f t="shared" si="5"/>
        <v>0.04</v>
      </c>
      <c r="J56" s="22">
        <f t="shared" si="5"/>
        <v>32</v>
      </c>
      <c r="K56" s="1">
        <f t="shared" ref="K55:K56" si="6">J56/E56</f>
        <v>100</v>
      </c>
    </row>
    <row r="59" spans="1:12" x14ac:dyDescent="0.3">
      <c r="B59" s="2" t="s">
        <v>41</v>
      </c>
      <c r="G59" s="2" t="s">
        <v>34</v>
      </c>
    </row>
    <row r="60" spans="1:12" x14ac:dyDescent="0.3">
      <c r="B60" s="16" t="s">
        <v>23</v>
      </c>
      <c r="C60" s="17" t="s">
        <v>24</v>
      </c>
      <c r="D60" s="17" t="s">
        <v>5</v>
      </c>
      <c r="E60" s="17" t="s">
        <v>6</v>
      </c>
      <c r="F60" s="17" t="s">
        <v>64</v>
      </c>
      <c r="G60" s="20" t="s">
        <v>65</v>
      </c>
      <c r="H60" s="17" t="s">
        <v>66</v>
      </c>
      <c r="I60" s="17" t="s">
        <v>25</v>
      </c>
      <c r="J60" s="17" t="s">
        <v>28</v>
      </c>
      <c r="K60" s="17" t="s">
        <v>29</v>
      </c>
    </row>
    <row r="61" spans="1:12" x14ac:dyDescent="0.3">
      <c r="B61" s="18" t="s">
        <v>24</v>
      </c>
      <c r="C61" s="1">
        <f>C53-$E$53*C62</f>
        <v>1</v>
      </c>
      <c r="D61" s="1">
        <f t="shared" ref="D61:J61" si="7">D53-$E$53*D62</f>
        <v>0</v>
      </c>
      <c r="E61" s="1">
        <f t="shared" si="7"/>
        <v>0</v>
      </c>
      <c r="F61" s="26">
        <f t="shared" si="7"/>
        <v>-5.3691275167850092E-2</v>
      </c>
      <c r="G61" s="31">
        <f t="shared" si="7"/>
        <v>-0.57046979865719927</v>
      </c>
      <c r="H61" s="1">
        <f t="shared" si="7"/>
        <v>0</v>
      </c>
      <c r="I61" s="26">
        <f t="shared" si="7"/>
        <v>1000.0536912751678</v>
      </c>
      <c r="J61" s="26">
        <f t="shared" si="7"/>
        <v>42.953020134218228</v>
      </c>
      <c r="K61" s="1" t="s">
        <v>35</v>
      </c>
    </row>
    <row r="62" spans="1:12" x14ac:dyDescent="0.3">
      <c r="B62" s="18" t="s">
        <v>6</v>
      </c>
      <c r="C62" s="22">
        <f>C54/$E$54</f>
        <v>0</v>
      </c>
      <c r="D62" s="22">
        <f t="shared" ref="D62:J62" si="8">D54/$E$54</f>
        <v>0</v>
      </c>
      <c r="E62" s="22">
        <f t="shared" si="8"/>
        <v>1</v>
      </c>
      <c r="F62" s="30">
        <f t="shared" si="8"/>
        <v>-2.0134228187919465E-2</v>
      </c>
      <c r="G62" s="32">
        <f t="shared" si="8"/>
        <v>-0.83892617449664431</v>
      </c>
      <c r="H62" s="22">
        <f t="shared" si="8"/>
        <v>0</v>
      </c>
      <c r="I62" s="30">
        <f t="shared" si="8"/>
        <v>2.0134228187919465E-2</v>
      </c>
      <c r="J62" s="30">
        <f t="shared" si="8"/>
        <v>16.107382550335572</v>
      </c>
      <c r="K62" s="1">
        <f>J62/G62</f>
        <v>-19.200000000000003</v>
      </c>
      <c r="L62" t="s">
        <v>39</v>
      </c>
    </row>
    <row r="63" spans="1:12" x14ac:dyDescent="0.3">
      <c r="A63" s="29" t="s">
        <v>38</v>
      </c>
      <c r="B63" s="13" t="s">
        <v>66</v>
      </c>
      <c r="C63" s="14">
        <f>C55-$E$55*C62</f>
        <v>0</v>
      </c>
      <c r="D63" s="14">
        <f t="shared" ref="D63:J63" si="9">D55-$E$55*D62</f>
        <v>0</v>
      </c>
      <c r="E63" s="14">
        <f t="shared" si="9"/>
        <v>0</v>
      </c>
      <c r="F63" s="31">
        <f t="shared" si="9"/>
        <v>4.7986577181208051E-2</v>
      </c>
      <c r="G63" s="31">
        <f t="shared" si="9"/>
        <v>0.61610738255033548</v>
      </c>
      <c r="H63" s="14">
        <f t="shared" si="9"/>
        <v>1</v>
      </c>
      <c r="I63" s="31">
        <f t="shared" si="9"/>
        <v>-4.7986577181208051E-2</v>
      </c>
      <c r="J63" s="31">
        <f t="shared" si="9"/>
        <v>41.610738255033553</v>
      </c>
      <c r="K63" s="14">
        <f t="shared" ref="K63:K64" si="10">J63/G63</f>
        <v>67.53812636165577</v>
      </c>
      <c r="L63" t="s">
        <v>36</v>
      </c>
    </row>
    <row r="64" spans="1:12" x14ac:dyDescent="0.3">
      <c r="B64" s="18" t="s">
        <v>5</v>
      </c>
      <c r="C64" s="1">
        <f>C56-$E$56*C62</f>
        <v>0</v>
      </c>
      <c r="D64" s="1">
        <f t="shared" ref="D64:J64" si="11">D56-$E$56*D62</f>
        <v>1</v>
      </c>
      <c r="E64" s="1">
        <f t="shared" si="11"/>
        <v>0</v>
      </c>
      <c r="F64" s="26">
        <f t="shared" si="11"/>
        <v>-3.3557046979865772E-2</v>
      </c>
      <c r="G64" s="31">
        <f t="shared" si="11"/>
        <v>0.26845637583892618</v>
      </c>
      <c r="H64" s="1">
        <f t="shared" si="11"/>
        <v>0</v>
      </c>
      <c r="I64" s="26">
        <f t="shared" si="11"/>
        <v>3.3557046979865772E-2</v>
      </c>
      <c r="J64" s="26">
        <f t="shared" si="11"/>
        <v>26.845637583892618</v>
      </c>
      <c r="K64" s="1">
        <f t="shared" si="10"/>
        <v>100</v>
      </c>
    </row>
    <row r="67" spans="1:12" x14ac:dyDescent="0.3">
      <c r="B67" s="2" t="s">
        <v>42</v>
      </c>
      <c r="F67" s="2" t="s">
        <v>34</v>
      </c>
    </row>
    <row r="68" spans="1:12" x14ac:dyDescent="0.3">
      <c r="B68" s="16" t="s">
        <v>23</v>
      </c>
      <c r="C68" s="17" t="s">
        <v>24</v>
      </c>
      <c r="D68" s="17" t="s">
        <v>5</v>
      </c>
      <c r="E68" s="17" t="s">
        <v>6</v>
      </c>
      <c r="F68" s="20" t="s">
        <v>64</v>
      </c>
      <c r="G68" s="17" t="s">
        <v>65</v>
      </c>
      <c r="H68" s="17" t="s">
        <v>66</v>
      </c>
      <c r="I68" s="17" t="s">
        <v>25</v>
      </c>
      <c r="J68" s="17" t="s">
        <v>28</v>
      </c>
      <c r="K68" s="17" t="s">
        <v>29</v>
      </c>
    </row>
    <row r="69" spans="1:12" x14ac:dyDescent="0.3">
      <c r="B69" s="18" t="s">
        <v>24</v>
      </c>
      <c r="C69" s="1">
        <f>C61-$G$61*C71</f>
        <v>1</v>
      </c>
      <c r="D69" s="1">
        <f t="shared" ref="D69:J69" si="12">D61-$G$61*D71</f>
        <v>0</v>
      </c>
      <c r="E69" s="1">
        <f t="shared" si="12"/>
        <v>0</v>
      </c>
      <c r="F69" s="31">
        <f t="shared" si="12"/>
        <v>-9.2592592593645218E-3</v>
      </c>
      <c r="G69" s="1">
        <f t="shared" si="12"/>
        <v>0</v>
      </c>
      <c r="H69" s="26">
        <f t="shared" si="12"/>
        <v>0.92592592592508383</v>
      </c>
      <c r="I69" s="26">
        <f t="shared" si="12"/>
        <v>1000.0092592592594</v>
      </c>
      <c r="J69" s="26">
        <f t="shared" si="12"/>
        <v>81.481481481436475</v>
      </c>
      <c r="K69" s="1" t="s">
        <v>35</v>
      </c>
    </row>
    <row r="70" spans="1:12" x14ac:dyDescent="0.3">
      <c r="B70" s="18" t="s">
        <v>6</v>
      </c>
      <c r="C70" s="1">
        <f>C62-$G$62*C71</f>
        <v>0</v>
      </c>
      <c r="D70" s="1">
        <f t="shared" ref="D70:J70" si="13">D62-$G$62*D71</f>
        <v>0</v>
      </c>
      <c r="E70" s="1">
        <f t="shared" si="13"/>
        <v>1</v>
      </c>
      <c r="F70" s="31">
        <f t="shared" si="13"/>
        <v>4.5206971677559923E-2</v>
      </c>
      <c r="G70" s="1">
        <f t="shared" si="13"/>
        <v>0</v>
      </c>
      <c r="H70" s="26">
        <f t="shared" si="13"/>
        <v>1.3616557734204795</v>
      </c>
      <c r="I70" s="26">
        <f t="shared" si="13"/>
        <v>-4.5206971677559923E-2</v>
      </c>
      <c r="J70" s="26">
        <f t="shared" si="13"/>
        <v>72.766884531590421</v>
      </c>
      <c r="K70" s="1">
        <f>J70/F70</f>
        <v>1609.6385542168673</v>
      </c>
    </row>
    <row r="71" spans="1:12" x14ac:dyDescent="0.3">
      <c r="A71" s="29" t="s">
        <v>38</v>
      </c>
      <c r="B71" s="13" t="s">
        <v>65</v>
      </c>
      <c r="C71" s="23">
        <f>C63/$G$63</f>
        <v>0</v>
      </c>
      <c r="D71" s="23">
        <f t="shared" ref="D71:J71" si="14">D63/$G$63</f>
        <v>0</v>
      </c>
      <c r="E71" s="23">
        <f t="shared" si="14"/>
        <v>0</v>
      </c>
      <c r="F71" s="32">
        <f t="shared" si="14"/>
        <v>7.7886710239651422E-2</v>
      </c>
      <c r="G71" s="23">
        <f t="shared" si="14"/>
        <v>1</v>
      </c>
      <c r="H71" s="32">
        <f t="shared" si="14"/>
        <v>1.6230936819172115</v>
      </c>
      <c r="I71" s="32">
        <f t="shared" si="14"/>
        <v>-7.7886710239651422E-2</v>
      </c>
      <c r="J71" s="32">
        <f t="shared" si="14"/>
        <v>67.53812636165577</v>
      </c>
      <c r="K71" s="14">
        <f t="shared" ref="K71:K72" si="15">J71/F71</f>
        <v>867.13286713286698</v>
      </c>
      <c r="L71" t="s">
        <v>36</v>
      </c>
    </row>
    <row r="72" spans="1:12" x14ac:dyDescent="0.3">
      <c r="B72" s="18" t="s">
        <v>5</v>
      </c>
      <c r="C72" s="1">
        <f>C64-$G$64*C71</f>
        <v>0</v>
      </c>
      <c r="D72" s="1">
        <f t="shared" ref="D72:J72" si="16">D64-$G$64*D71</f>
        <v>1</v>
      </c>
      <c r="E72" s="1">
        <f t="shared" si="16"/>
        <v>0</v>
      </c>
      <c r="F72" s="31">
        <f t="shared" si="16"/>
        <v>-5.4466230936819175E-2</v>
      </c>
      <c r="G72" s="1">
        <f t="shared" si="16"/>
        <v>0</v>
      </c>
      <c r="H72" s="26">
        <f t="shared" si="16"/>
        <v>-0.4357298474945534</v>
      </c>
      <c r="I72" s="26">
        <f t="shared" si="16"/>
        <v>5.4466230936819175E-2</v>
      </c>
      <c r="J72" s="26">
        <f t="shared" si="16"/>
        <v>8.7145969498910674</v>
      </c>
      <c r="K72" s="1">
        <f t="shared" si="15"/>
        <v>-160</v>
      </c>
      <c r="L72" t="s">
        <v>39</v>
      </c>
    </row>
    <row r="75" spans="1:12" x14ac:dyDescent="0.3">
      <c r="B75" s="2" t="s">
        <v>42</v>
      </c>
      <c r="F75" t="s">
        <v>34</v>
      </c>
    </row>
    <row r="76" spans="1:12" x14ac:dyDescent="0.3">
      <c r="B76" s="16" t="s">
        <v>23</v>
      </c>
      <c r="C76" s="17" t="s">
        <v>24</v>
      </c>
      <c r="D76" s="17" t="s">
        <v>5</v>
      </c>
      <c r="E76" s="17" t="s">
        <v>6</v>
      </c>
      <c r="F76" s="17" t="s">
        <v>64</v>
      </c>
      <c r="G76" s="17" t="s">
        <v>65</v>
      </c>
      <c r="H76" s="17" t="s">
        <v>66</v>
      </c>
      <c r="I76" s="17" t="s">
        <v>25</v>
      </c>
      <c r="J76" s="17" t="s">
        <v>28</v>
      </c>
      <c r="K76" s="17" t="s">
        <v>44</v>
      </c>
    </row>
    <row r="77" spans="1:12" x14ac:dyDescent="0.3">
      <c r="B77" s="18" t="s">
        <v>24</v>
      </c>
      <c r="C77" s="1">
        <f>C69-$F$69*C79</f>
        <v>1</v>
      </c>
      <c r="D77" s="1">
        <f t="shared" ref="D77:J77" si="17">D69-$F$69*D79</f>
        <v>0</v>
      </c>
      <c r="E77" s="1">
        <f t="shared" si="17"/>
        <v>0</v>
      </c>
      <c r="F77" s="1">
        <f t="shared" si="17"/>
        <v>0</v>
      </c>
      <c r="G77" s="26">
        <f t="shared" si="17"/>
        <v>0.11888111888247035</v>
      </c>
      <c r="H77" s="26">
        <f t="shared" si="17"/>
        <v>1.1188811188824703</v>
      </c>
      <c r="I77" s="1">
        <f t="shared" si="17"/>
        <v>1000</v>
      </c>
      <c r="J77" s="26">
        <f t="shared" si="17"/>
        <v>89.510489510535777</v>
      </c>
      <c r="K77" s="11" t="s">
        <v>68</v>
      </c>
      <c r="L77" t="s">
        <v>69</v>
      </c>
    </row>
    <row r="78" spans="1:12" x14ac:dyDescent="0.3">
      <c r="B78" s="18" t="s">
        <v>6</v>
      </c>
      <c r="C78" s="1">
        <f>C70-$F$70*C79</f>
        <v>0</v>
      </c>
      <c r="D78" s="1">
        <f t="shared" ref="D78:J78" si="18">D70-$F$70*D79</f>
        <v>0</v>
      </c>
      <c r="E78" s="1">
        <f t="shared" si="18"/>
        <v>1</v>
      </c>
      <c r="F78" s="1">
        <f t="shared" si="18"/>
        <v>0</v>
      </c>
      <c r="G78" s="26">
        <f t="shared" si="18"/>
        <v>-0.58041958041958053</v>
      </c>
      <c r="H78" s="26">
        <f t="shared" si="18"/>
        <v>0.41958041958041947</v>
      </c>
      <c r="I78" s="1">
        <f t="shared" si="18"/>
        <v>0</v>
      </c>
      <c r="J78" s="26">
        <f t="shared" si="18"/>
        <v>33.566433566433574</v>
      </c>
      <c r="K78" s="11" t="s">
        <v>70</v>
      </c>
      <c r="L78" t="s">
        <v>71</v>
      </c>
    </row>
    <row r="79" spans="1:12" x14ac:dyDescent="0.3">
      <c r="B79" s="18" t="s">
        <v>64</v>
      </c>
      <c r="C79" s="22">
        <f>C71/$F$71</f>
        <v>0</v>
      </c>
      <c r="D79" s="22">
        <f t="shared" ref="D79:J79" si="19">D71/$F$71</f>
        <v>0</v>
      </c>
      <c r="E79" s="22">
        <f t="shared" si="19"/>
        <v>0</v>
      </c>
      <c r="F79" s="22">
        <f t="shared" si="19"/>
        <v>1</v>
      </c>
      <c r="G79" s="30">
        <f t="shared" si="19"/>
        <v>12.839160839160838</v>
      </c>
      <c r="H79" s="30">
        <f t="shared" si="19"/>
        <v>20.83916083916084</v>
      </c>
      <c r="I79" s="22">
        <f t="shared" si="19"/>
        <v>-1</v>
      </c>
      <c r="J79" s="30">
        <f t="shared" si="19"/>
        <v>867.13286713286698</v>
      </c>
      <c r="K79" s="11" t="s">
        <v>72</v>
      </c>
      <c r="L79" t="s">
        <v>73</v>
      </c>
    </row>
    <row r="80" spans="1:12" x14ac:dyDescent="0.3">
      <c r="B80" s="18" t="s">
        <v>5</v>
      </c>
      <c r="C80" s="1">
        <f>C72-$F$72*C79</f>
        <v>0</v>
      </c>
      <c r="D80" s="1">
        <f t="shared" ref="D80:J80" si="20">D72-$F$72*D79</f>
        <v>1</v>
      </c>
      <c r="E80" s="1">
        <f t="shared" si="20"/>
        <v>0</v>
      </c>
      <c r="F80" s="1">
        <f t="shared" si="20"/>
        <v>0</v>
      </c>
      <c r="G80" s="26">
        <f t="shared" si="20"/>
        <v>0.69930069930069927</v>
      </c>
      <c r="H80" s="26">
        <f t="shared" si="20"/>
        <v>0.69930069930069938</v>
      </c>
      <c r="I80" s="1">
        <f t="shared" si="20"/>
        <v>0</v>
      </c>
      <c r="J80" s="26">
        <f t="shared" si="20"/>
        <v>55.94405594405594</v>
      </c>
      <c r="K80" s="11"/>
    </row>
  </sheetData>
  <mergeCells count="1">
    <mergeCell ref="M2:N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DDF4-3F2F-4311-8EEB-724666FA8AC9}">
  <dimension ref="A3:U129"/>
  <sheetViews>
    <sheetView tabSelected="1" topLeftCell="A110" workbookViewId="0">
      <selection activeCell="D130" sqref="D130"/>
    </sheetView>
  </sheetViews>
  <sheetFormatPr baseColWidth="10" defaultRowHeight="14.4" x14ac:dyDescent="0.3"/>
  <cols>
    <col min="1" max="1" width="13.77734375" customWidth="1"/>
    <col min="3" max="3" width="9.33203125" customWidth="1"/>
    <col min="4" max="4" width="8" customWidth="1"/>
    <col min="5" max="5" width="9.109375" customWidth="1"/>
    <col min="6" max="6" width="9.5546875" customWidth="1"/>
    <col min="7" max="7" width="9.88671875" customWidth="1"/>
    <col min="8" max="8" width="8.88671875" customWidth="1"/>
    <col min="9" max="9" width="9.6640625" customWidth="1"/>
    <col min="10" max="10" width="8.44140625" customWidth="1"/>
    <col min="11" max="11" width="8.109375" customWidth="1"/>
    <col min="12" max="12" width="9.21875" customWidth="1"/>
    <col min="13" max="13" width="9.33203125" customWidth="1"/>
    <col min="14" max="14" width="9.21875" customWidth="1"/>
    <col min="15" max="15" width="10.77734375" customWidth="1"/>
  </cols>
  <sheetData>
    <row r="3" spans="2:11" x14ac:dyDescent="0.3">
      <c r="C3" s="33" t="s">
        <v>74</v>
      </c>
    </row>
    <row r="5" spans="2:11" x14ac:dyDescent="0.3">
      <c r="B5" s="6" t="s">
        <v>14</v>
      </c>
      <c r="F5" t="s">
        <v>99</v>
      </c>
    </row>
    <row r="6" spans="2:11" x14ac:dyDescent="0.3">
      <c r="C6" t="s">
        <v>75</v>
      </c>
      <c r="F6" t="s">
        <v>82</v>
      </c>
    </row>
    <row r="7" spans="2:11" x14ac:dyDescent="0.3">
      <c r="C7" t="s">
        <v>76</v>
      </c>
      <c r="F7" t="s">
        <v>83</v>
      </c>
    </row>
    <row r="8" spans="2:11" x14ac:dyDescent="0.3">
      <c r="C8" t="s">
        <v>84</v>
      </c>
      <c r="F8" t="s">
        <v>85</v>
      </c>
    </row>
    <row r="9" spans="2:11" x14ac:dyDescent="0.3">
      <c r="C9" t="s">
        <v>77</v>
      </c>
      <c r="F9" t="s">
        <v>86</v>
      </c>
    </row>
    <row r="10" spans="2:11" x14ac:dyDescent="0.3">
      <c r="C10" t="s">
        <v>78</v>
      </c>
      <c r="F10" t="s">
        <v>87</v>
      </c>
    </row>
    <row r="11" spans="2:11" x14ac:dyDescent="0.3">
      <c r="C11" t="s">
        <v>79</v>
      </c>
      <c r="F11" t="s">
        <v>88</v>
      </c>
    </row>
    <row r="12" spans="2:11" x14ac:dyDescent="0.3">
      <c r="C12" t="s">
        <v>80</v>
      </c>
      <c r="F12" t="s">
        <v>91</v>
      </c>
    </row>
    <row r="13" spans="2:11" x14ac:dyDescent="0.3">
      <c r="C13" t="s">
        <v>81</v>
      </c>
      <c r="F13" t="s">
        <v>92</v>
      </c>
    </row>
    <row r="14" spans="2:11" x14ac:dyDescent="0.3">
      <c r="C14" t="s">
        <v>90</v>
      </c>
    </row>
    <row r="16" spans="2:11" x14ac:dyDescent="0.3">
      <c r="K16" t="s">
        <v>30</v>
      </c>
    </row>
    <row r="17" spans="2:20" x14ac:dyDescent="0.3">
      <c r="B17" s="2" t="s">
        <v>22</v>
      </c>
    </row>
    <row r="18" spans="2:20" x14ac:dyDescent="0.3">
      <c r="B18" s="16" t="s">
        <v>23</v>
      </c>
      <c r="C18" s="17" t="s">
        <v>24</v>
      </c>
      <c r="D18" s="17" t="s">
        <v>93</v>
      </c>
      <c r="E18" s="17" t="s">
        <v>94</v>
      </c>
      <c r="F18" s="17" t="s">
        <v>95</v>
      </c>
      <c r="G18" s="17" t="s">
        <v>96</v>
      </c>
      <c r="H18" s="17" t="s">
        <v>97</v>
      </c>
      <c r="I18" s="17" t="s">
        <v>98</v>
      </c>
      <c r="J18" s="17" t="s">
        <v>64</v>
      </c>
      <c r="K18" s="17" t="s">
        <v>65</v>
      </c>
      <c r="L18" s="17" t="s">
        <v>66</v>
      </c>
      <c r="M18" s="17" t="s">
        <v>25</v>
      </c>
      <c r="N18" s="17" t="s">
        <v>26</v>
      </c>
      <c r="O18" s="17" t="s">
        <v>27</v>
      </c>
      <c r="P18" s="17" t="s">
        <v>100</v>
      </c>
      <c r="Q18" s="17" t="s">
        <v>101</v>
      </c>
      <c r="R18" s="17" t="s">
        <v>102</v>
      </c>
      <c r="S18" s="17" t="s">
        <v>28</v>
      </c>
      <c r="T18" s="17" t="s">
        <v>103</v>
      </c>
    </row>
    <row r="19" spans="2:20" x14ac:dyDescent="0.3">
      <c r="B19" s="18" t="s">
        <v>24</v>
      </c>
      <c r="C19" s="1">
        <v>1</v>
      </c>
      <c r="D19" s="1">
        <v>-20</v>
      </c>
      <c r="E19" s="1">
        <v>-20</v>
      </c>
      <c r="F19" s="1">
        <v>-20</v>
      </c>
      <c r="G19" s="1">
        <v>-40</v>
      </c>
      <c r="H19" s="1">
        <v>-40</v>
      </c>
      <c r="I19" s="1">
        <v>-20</v>
      </c>
      <c r="J19" s="1">
        <v>0</v>
      </c>
      <c r="K19" s="1">
        <v>0</v>
      </c>
      <c r="L19" s="1">
        <v>0</v>
      </c>
      <c r="M19" s="1">
        <v>-1000</v>
      </c>
      <c r="N19" s="1">
        <v>-1000</v>
      </c>
      <c r="O19" s="1">
        <v>-1000</v>
      </c>
      <c r="P19" s="1">
        <v>0</v>
      </c>
      <c r="Q19" s="1">
        <v>0</v>
      </c>
      <c r="R19" s="1">
        <v>-1000</v>
      </c>
      <c r="S19" s="1">
        <v>0</v>
      </c>
    </row>
    <row r="20" spans="2:20" x14ac:dyDescent="0.3">
      <c r="B20" s="18" t="s">
        <v>65</v>
      </c>
      <c r="C20" s="1">
        <v>0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140</v>
      </c>
    </row>
    <row r="21" spans="2:20" x14ac:dyDescent="0.3">
      <c r="B21" s="18" t="s">
        <v>66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320</v>
      </c>
    </row>
    <row r="22" spans="2:20" x14ac:dyDescent="0.3">
      <c r="B22" s="18" t="s">
        <v>25</v>
      </c>
      <c r="C22" s="1">
        <v>0</v>
      </c>
      <c r="D22" s="1">
        <v>1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150</v>
      </c>
    </row>
    <row r="23" spans="2:20" x14ac:dyDescent="0.3">
      <c r="B23" s="18" t="s">
        <v>26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80</v>
      </c>
    </row>
    <row r="24" spans="2:20" x14ac:dyDescent="0.3">
      <c r="B24" s="18" t="s">
        <v>27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120</v>
      </c>
    </row>
    <row r="25" spans="2:20" x14ac:dyDescent="0.3">
      <c r="B25" s="18" t="s">
        <v>100</v>
      </c>
      <c r="C25" s="1">
        <v>0</v>
      </c>
      <c r="D25" s="1">
        <v>4</v>
      </c>
      <c r="E25" s="1">
        <v>0</v>
      </c>
      <c r="F25" s="1">
        <v>0</v>
      </c>
      <c r="G25" s="1">
        <v>-1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</row>
    <row r="26" spans="2:20" x14ac:dyDescent="0.3">
      <c r="B26" s="18" t="s">
        <v>101</v>
      </c>
      <c r="C26" s="1">
        <v>0</v>
      </c>
      <c r="D26" s="1">
        <v>0</v>
      </c>
      <c r="E26" s="1">
        <v>20</v>
      </c>
      <c r="F26" s="1">
        <v>20</v>
      </c>
      <c r="G26" s="1">
        <v>-40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</row>
    <row r="27" spans="2:20" x14ac:dyDescent="0.3">
      <c r="B27" s="18" t="s">
        <v>102</v>
      </c>
      <c r="C27" s="1">
        <v>0</v>
      </c>
      <c r="D27" s="1">
        <v>0</v>
      </c>
      <c r="E27" s="1">
        <v>1</v>
      </c>
      <c r="F27" s="1">
        <v>-1</v>
      </c>
      <c r="G27" s="1">
        <v>0</v>
      </c>
      <c r="H27" s="1">
        <v>0</v>
      </c>
      <c r="I27" s="1">
        <v>0</v>
      </c>
      <c r="J27" s="1">
        <v>-1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0</v>
      </c>
    </row>
    <row r="30" spans="2:20" x14ac:dyDescent="0.3">
      <c r="B30" s="28" t="s">
        <v>32</v>
      </c>
    </row>
    <row r="31" spans="2:20" x14ac:dyDescent="0.3">
      <c r="B31" s="16" t="s">
        <v>23</v>
      </c>
      <c r="C31" s="17" t="s">
        <v>24</v>
      </c>
      <c r="D31" s="17" t="s">
        <v>93</v>
      </c>
      <c r="E31" s="17" t="s">
        <v>94</v>
      </c>
      <c r="F31" s="17" t="s">
        <v>95</v>
      </c>
      <c r="G31" s="17" t="s">
        <v>96</v>
      </c>
      <c r="H31" s="17" t="s">
        <v>97</v>
      </c>
      <c r="I31" s="17" t="s">
        <v>98</v>
      </c>
      <c r="J31" s="17" t="s">
        <v>64</v>
      </c>
      <c r="K31" s="17" t="s">
        <v>65</v>
      </c>
      <c r="L31" s="17" t="s">
        <v>66</v>
      </c>
      <c r="M31" s="17" t="s">
        <v>25</v>
      </c>
      <c r="N31" s="17" t="s">
        <v>26</v>
      </c>
      <c r="O31" s="17" t="s">
        <v>27</v>
      </c>
      <c r="P31" s="17" t="s">
        <v>100</v>
      </c>
      <c r="Q31" s="17" t="s">
        <v>101</v>
      </c>
      <c r="R31" s="17" t="s">
        <v>102</v>
      </c>
      <c r="S31" s="17" t="s">
        <v>28</v>
      </c>
    </row>
    <row r="32" spans="2:20" x14ac:dyDescent="0.3">
      <c r="B32" s="18" t="s">
        <v>24</v>
      </c>
      <c r="C32" s="1">
        <v>1</v>
      </c>
      <c r="D32" s="1">
        <v>-20</v>
      </c>
      <c r="E32" s="1">
        <v>-20</v>
      </c>
      <c r="F32" s="1">
        <v>-20</v>
      </c>
      <c r="G32" s="1">
        <v>-40</v>
      </c>
      <c r="H32" s="1">
        <v>-40</v>
      </c>
      <c r="I32" s="1">
        <v>-20</v>
      </c>
      <c r="J32" s="1">
        <v>0</v>
      </c>
      <c r="K32" s="1">
        <v>0</v>
      </c>
      <c r="L32" s="1">
        <v>0</v>
      </c>
      <c r="M32" s="1">
        <v>-1000</v>
      </c>
      <c r="N32" s="1">
        <v>-1000</v>
      </c>
      <c r="O32" s="1">
        <v>-1000</v>
      </c>
      <c r="P32" s="1">
        <v>0</v>
      </c>
      <c r="Q32" s="1">
        <v>0</v>
      </c>
      <c r="R32" s="1">
        <v>-1000</v>
      </c>
      <c r="S32" s="1">
        <v>0</v>
      </c>
    </row>
    <row r="33" spans="1:21" x14ac:dyDescent="0.3">
      <c r="B33" s="18" t="s">
        <v>25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150</v>
      </c>
    </row>
    <row r="34" spans="1:21" x14ac:dyDescent="0.3">
      <c r="B34" s="18" t="s">
        <v>26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80</v>
      </c>
    </row>
    <row r="35" spans="1:21" x14ac:dyDescent="0.3">
      <c r="B35" s="18" t="s">
        <v>27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120</v>
      </c>
    </row>
    <row r="36" spans="1:21" x14ac:dyDescent="0.3">
      <c r="B36" s="19" t="s">
        <v>102</v>
      </c>
      <c r="C36" s="12">
        <v>0</v>
      </c>
      <c r="D36" s="12">
        <v>0</v>
      </c>
      <c r="E36" s="12">
        <v>1</v>
      </c>
      <c r="F36" s="12">
        <v>-1</v>
      </c>
      <c r="G36" s="12">
        <v>0</v>
      </c>
      <c r="H36" s="12">
        <v>0</v>
      </c>
      <c r="I36" s="12">
        <v>0</v>
      </c>
      <c r="J36" s="12">
        <v>-1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1</v>
      </c>
      <c r="S36" s="12">
        <v>0</v>
      </c>
    </row>
    <row r="37" spans="1:21" x14ac:dyDescent="0.3">
      <c r="B37" s="18" t="s">
        <v>24</v>
      </c>
      <c r="C37" s="1">
        <f>C32+1000*(C33+C34+C35+C36)</f>
        <v>1</v>
      </c>
      <c r="D37" s="1">
        <f t="shared" ref="D37:S37" si="0">D32+1000*(D33+D34+D35+D36)</f>
        <v>980</v>
      </c>
      <c r="E37" s="1">
        <f t="shared" si="0"/>
        <v>1980</v>
      </c>
      <c r="F37" s="1">
        <f t="shared" si="0"/>
        <v>-20</v>
      </c>
      <c r="G37" s="1">
        <f t="shared" si="0"/>
        <v>960</v>
      </c>
      <c r="H37" s="1">
        <f t="shared" si="0"/>
        <v>960</v>
      </c>
      <c r="I37" s="1">
        <f t="shared" si="0"/>
        <v>980</v>
      </c>
      <c r="J37" s="1">
        <f t="shared" si="0"/>
        <v>-1000</v>
      </c>
      <c r="K37" s="1">
        <f t="shared" si="0"/>
        <v>0</v>
      </c>
      <c r="L37" s="1">
        <f t="shared" si="0"/>
        <v>0</v>
      </c>
      <c r="M37" s="1">
        <f t="shared" si="0"/>
        <v>0</v>
      </c>
      <c r="N37" s="1">
        <f t="shared" si="0"/>
        <v>0</v>
      </c>
      <c r="O37" s="1">
        <f t="shared" si="0"/>
        <v>0</v>
      </c>
      <c r="P37" s="1">
        <f t="shared" si="0"/>
        <v>0</v>
      </c>
      <c r="Q37" s="1">
        <f t="shared" si="0"/>
        <v>0</v>
      </c>
      <c r="R37" s="1">
        <f t="shared" si="0"/>
        <v>0</v>
      </c>
      <c r="S37" s="1">
        <f t="shared" si="0"/>
        <v>350000</v>
      </c>
    </row>
    <row r="40" spans="1:21" x14ac:dyDescent="0.3">
      <c r="B40" s="2" t="s">
        <v>33</v>
      </c>
      <c r="E40" s="2" t="s">
        <v>34</v>
      </c>
    </row>
    <row r="41" spans="1:21" x14ac:dyDescent="0.3">
      <c r="B41" s="16" t="s">
        <v>23</v>
      </c>
      <c r="C41" s="17" t="s">
        <v>24</v>
      </c>
      <c r="D41" s="17" t="s">
        <v>93</v>
      </c>
      <c r="E41" s="20" t="s">
        <v>94</v>
      </c>
      <c r="F41" s="17" t="s">
        <v>95</v>
      </c>
      <c r="G41" s="17" t="s">
        <v>96</v>
      </c>
      <c r="H41" s="17" t="s">
        <v>97</v>
      </c>
      <c r="I41" s="17" t="s">
        <v>98</v>
      </c>
      <c r="J41" s="17" t="s">
        <v>64</v>
      </c>
      <c r="K41" s="17" t="s">
        <v>65</v>
      </c>
      <c r="L41" s="17" t="s">
        <v>66</v>
      </c>
      <c r="M41" s="17" t="s">
        <v>25</v>
      </c>
      <c r="N41" s="17" t="s">
        <v>26</v>
      </c>
      <c r="O41" s="17" t="s">
        <v>27</v>
      </c>
      <c r="P41" s="17" t="s">
        <v>100</v>
      </c>
      <c r="Q41" s="17" t="s">
        <v>101</v>
      </c>
      <c r="R41" s="17" t="s">
        <v>102</v>
      </c>
      <c r="S41" s="17" t="s">
        <v>28</v>
      </c>
      <c r="T41" s="17" t="s">
        <v>103</v>
      </c>
    </row>
    <row r="42" spans="1:21" x14ac:dyDescent="0.3">
      <c r="B42" s="18" t="s">
        <v>24</v>
      </c>
      <c r="C42" s="1">
        <v>1</v>
      </c>
      <c r="D42" s="1">
        <v>980</v>
      </c>
      <c r="E42" s="14">
        <v>1980</v>
      </c>
      <c r="F42" s="1">
        <v>-20</v>
      </c>
      <c r="G42" s="1">
        <v>960</v>
      </c>
      <c r="H42" s="1">
        <v>960</v>
      </c>
      <c r="I42" s="1">
        <v>980</v>
      </c>
      <c r="J42" s="1">
        <v>-1000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350000</v>
      </c>
      <c r="T42" s="1" t="s">
        <v>35</v>
      </c>
    </row>
    <row r="43" spans="1:21" x14ac:dyDescent="0.3">
      <c r="B43" s="18" t="s">
        <v>65</v>
      </c>
      <c r="C43" s="1">
        <v>0</v>
      </c>
      <c r="D43" s="1">
        <v>1</v>
      </c>
      <c r="E43" s="14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140</v>
      </c>
      <c r="T43" s="1">
        <f>S43/E43</f>
        <v>140</v>
      </c>
    </row>
    <row r="44" spans="1:21" x14ac:dyDescent="0.3">
      <c r="B44" s="18" t="s">
        <v>66</v>
      </c>
      <c r="C44" s="1">
        <v>0</v>
      </c>
      <c r="D44" s="1">
        <v>0</v>
      </c>
      <c r="E44" s="14">
        <v>0</v>
      </c>
      <c r="F44" s="1">
        <v>0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320</v>
      </c>
      <c r="T44" s="1" t="e">
        <f t="shared" ref="T44:T50" si="1">S44/E44</f>
        <v>#DIV/0!</v>
      </c>
    </row>
    <row r="45" spans="1:21" x14ac:dyDescent="0.3">
      <c r="B45" s="18" t="s">
        <v>25</v>
      </c>
      <c r="C45" s="1">
        <v>0</v>
      </c>
      <c r="D45" s="1">
        <v>1</v>
      </c>
      <c r="E45" s="14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150</v>
      </c>
      <c r="T45" s="1" t="e">
        <f t="shared" si="1"/>
        <v>#DIV/0!</v>
      </c>
    </row>
    <row r="46" spans="1:21" x14ac:dyDescent="0.3">
      <c r="A46" s="29" t="s">
        <v>38</v>
      </c>
      <c r="B46" s="13" t="s">
        <v>26</v>
      </c>
      <c r="C46" s="14">
        <v>0</v>
      </c>
      <c r="D46" s="14">
        <v>0</v>
      </c>
      <c r="E46" s="14">
        <v>1</v>
      </c>
      <c r="F46" s="14">
        <v>0</v>
      </c>
      <c r="G46" s="14">
        <v>0</v>
      </c>
      <c r="H46" s="14">
        <v>1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1</v>
      </c>
      <c r="O46" s="14">
        <v>0</v>
      </c>
      <c r="P46" s="14">
        <v>0</v>
      </c>
      <c r="Q46" s="14">
        <v>0</v>
      </c>
      <c r="R46" s="14">
        <v>0</v>
      </c>
      <c r="S46" s="14">
        <v>80</v>
      </c>
      <c r="T46" s="1">
        <f t="shared" si="1"/>
        <v>80</v>
      </c>
      <c r="U46" t="s">
        <v>36</v>
      </c>
    </row>
    <row r="47" spans="1:21" x14ac:dyDescent="0.3">
      <c r="B47" s="18" t="s">
        <v>27</v>
      </c>
      <c r="C47" s="1">
        <v>0</v>
      </c>
      <c r="D47" s="1">
        <v>0</v>
      </c>
      <c r="E47" s="14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120</v>
      </c>
      <c r="T47" s="1" t="e">
        <f t="shared" si="1"/>
        <v>#DIV/0!</v>
      </c>
    </row>
    <row r="48" spans="1:21" x14ac:dyDescent="0.3">
      <c r="B48" s="18" t="s">
        <v>100</v>
      </c>
      <c r="C48" s="1">
        <v>0</v>
      </c>
      <c r="D48" s="1">
        <v>4</v>
      </c>
      <c r="E48" s="14">
        <v>0</v>
      </c>
      <c r="F48" s="1">
        <v>0</v>
      </c>
      <c r="G48" s="1">
        <v>-1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 t="e">
        <f t="shared" si="1"/>
        <v>#DIV/0!</v>
      </c>
    </row>
    <row r="49" spans="1:21" x14ac:dyDescent="0.3">
      <c r="B49" s="18" t="s">
        <v>101</v>
      </c>
      <c r="C49" s="1">
        <v>0</v>
      </c>
      <c r="D49" s="1">
        <v>0</v>
      </c>
      <c r="E49" s="14">
        <v>20</v>
      </c>
      <c r="F49" s="1">
        <v>20</v>
      </c>
      <c r="G49" s="1">
        <v>-40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>
        <f t="shared" si="1"/>
        <v>0</v>
      </c>
    </row>
    <row r="50" spans="1:21" x14ac:dyDescent="0.3">
      <c r="B50" s="18" t="s">
        <v>102</v>
      </c>
      <c r="C50" s="1">
        <v>0</v>
      </c>
      <c r="D50" s="1">
        <v>0</v>
      </c>
      <c r="E50" s="14">
        <v>1</v>
      </c>
      <c r="F50" s="1">
        <v>-1</v>
      </c>
      <c r="G50" s="1">
        <v>0</v>
      </c>
      <c r="H50" s="1">
        <v>0</v>
      </c>
      <c r="I50" s="1">
        <v>0</v>
      </c>
      <c r="J50" s="1">
        <v>-1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f t="shared" si="1"/>
        <v>0</v>
      </c>
    </row>
    <row r="53" spans="1:21" x14ac:dyDescent="0.3">
      <c r="B53" s="2" t="s">
        <v>40</v>
      </c>
      <c r="D53" s="2" t="s">
        <v>34</v>
      </c>
    </row>
    <row r="54" spans="1:21" x14ac:dyDescent="0.3">
      <c r="B54" s="16" t="s">
        <v>23</v>
      </c>
      <c r="C54" s="17" t="s">
        <v>24</v>
      </c>
      <c r="D54" s="20" t="s">
        <v>93</v>
      </c>
      <c r="E54" s="17" t="s">
        <v>94</v>
      </c>
      <c r="F54" s="17" t="s">
        <v>95</v>
      </c>
      <c r="G54" s="17" t="s">
        <v>96</v>
      </c>
      <c r="H54" s="17" t="s">
        <v>97</v>
      </c>
      <c r="I54" s="17" t="s">
        <v>98</v>
      </c>
      <c r="J54" s="17" t="s">
        <v>64</v>
      </c>
      <c r="K54" s="17" t="s">
        <v>65</v>
      </c>
      <c r="L54" s="17" t="s">
        <v>66</v>
      </c>
      <c r="M54" s="17" t="s">
        <v>25</v>
      </c>
      <c r="N54" s="17" t="s">
        <v>26</v>
      </c>
      <c r="O54" s="17" t="s">
        <v>27</v>
      </c>
      <c r="P54" s="17" t="s">
        <v>100</v>
      </c>
      <c r="Q54" s="17" t="s">
        <v>101</v>
      </c>
      <c r="R54" s="17" t="s">
        <v>102</v>
      </c>
      <c r="S54" s="17" t="s">
        <v>28</v>
      </c>
      <c r="T54" s="17" t="s">
        <v>103</v>
      </c>
    </row>
    <row r="55" spans="1:21" x14ac:dyDescent="0.3">
      <c r="B55" s="35" t="s">
        <v>24</v>
      </c>
      <c r="C55" s="1">
        <f>C42-$E$42*C59</f>
        <v>1</v>
      </c>
      <c r="D55" s="14">
        <f t="shared" ref="D55:S55" si="2">D42-$E$42*D59</f>
        <v>980</v>
      </c>
      <c r="E55" s="1">
        <f t="shared" si="2"/>
        <v>0</v>
      </c>
      <c r="F55" s="1">
        <f t="shared" si="2"/>
        <v>-20</v>
      </c>
      <c r="G55" s="1">
        <f t="shared" si="2"/>
        <v>960</v>
      </c>
      <c r="H55" s="1">
        <f t="shared" si="2"/>
        <v>-1020</v>
      </c>
      <c r="I55" s="1">
        <f t="shared" si="2"/>
        <v>980</v>
      </c>
      <c r="J55" s="1">
        <f t="shared" si="2"/>
        <v>-1000</v>
      </c>
      <c r="K55" s="1">
        <f t="shared" si="2"/>
        <v>0</v>
      </c>
      <c r="L55" s="1">
        <f t="shared" si="2"/>
        <v>0</v>
      </c>
      <c r="M55" s="1">
        <f t="shared" si="2"/>
        <v>0</v>
      </c>
      <c r="N55" s="1">
        <f t="shared" si="2"/>
        <v>-1980</v>
      </c>
      <c r="O55" s="1">
        <f t="shared" si="2"/>
        <v>0</v>
      </c>
      <c r="P55" s="1">
        <f t="shared" si="2"/>
        <v>0</v>
      </c>
      <c r="Q55" s="1">
        <f t="shared" si="2"/>
        <v>0</v>
      </c>
      <c r="R55" s="1">
        <f t="shared" si="2"/>
        <v>0</v>
      </c>
      <c r="S55" s="1">
        <f t="shared" si="2"/>
        <v>191600</v>
      </c>
      <c r="T55" s="1" t="s">
        <v>35</v>
      </c>
    </row>
    <row r="56" spans="1:21" x14ac:dyDescent="0.3">
      <c r="A56" s="29" t="s">
        <v>38</v>
      </c>
      <c r="B56" s="13" t="s">
        <v>65</v>
      </c>
      <c r="C56" s="14">
        <f>C43-$E$43*C59</f>
        <v>0</v>
      </c>
      <c r="D56" s="14">
        <f>D43-$E$43*D59</f>
        <v>1</v>
      </c>
      <c r="E56" s="14">
        <f t="shared" ref="D56:S56" si="3">E43-$E$43*E59</f>
        <v>0</v>
      </c>
      <c r="F56" s="14">
        <f t="shared" si="3"/>
        <v>1</v>
      </c>
      <c r="G56" s="14">
        <f t="shared" si="3"/>
        <v>0</v>
      </c>
      <c r="H56" s="14">
        <f t="shared" si="3"/>
        <v>-1</v>
      </c>
      <c r="I56" s="14">
        <f t="shared" si="3"/>
        <v>0</v>
      </c>
      <c r="J56" s="14">
        <f t="shared" si="3"/>
        <v>0</v>
      </c>
      <c r="K56" s="14">
        <f t="shared" si="3"/>
        <v>1</v>
      </c>
      <c r="L56" s="14">
        <f t="shared" si="3"/>
        <v>0</v>
      </c>
      <c r="M56" s="14">
        <f t="shared" si="3"/>
        <v>0</v>
      </c>
      <c r="N56" s="14">
        <f t="shared" si="3"/>
        <v>-1</v>
      </c>
      <c r="O56" s="14">
        <f t="shared" si="3"/>
        <v>0</v>
      </c>
      <c r="P56" s="14">
        <f t="shared" si="3"/>
        <v>0</v>
      </c>
      <c r="Q56" s="14">
        <f t="shared" si="3"/>
        <v>0</v>
      </c>
      <c r="R56" s="14">
        <f t="shared" si="3"/>
        <v>0</v>
      </c>
      <c r="S56" s="14">
        <f t="shared" si="3"/>
        <v>60</v>
      </c>
      <c r="T56" s="14">
        <f>S56/D56</f>
        <v>60</v>
      </c>
      <c r="U56" t="s">
        <v>36</v>
      </c>
    </row>
    <row r="57" spans="1:21" x14ac:dyDescent="0.3">
      <c r="B57" s="18" t="s">
        <v>66</v>
      </c>
      <c r="C57" s="1">
        <f>C44-$E$44*C59</f>
        <v>0</v>
      </c>
      <c r="D57" s="14">
        <f t="shared" ref="D57:S57" si="4">D44-$E$44*D59</f>
        <v>0</v>
      </c>
      <c r="E57" s="1">
        <f t="shared" si="4"/>
        <v>0</v>
      </c>
      <c r="F57" s="1">
        <f t="shared" si="4"/>
        <v>0</v>
      </c>
      <c r="G57" s="1">
        <f t="shared" si="4"/>
        <v>1</v>
      </c>
      <c r="H57" s="1">
        <f t="shared" si="4"/>
        <v>1</v>
      </c>
      <c r="I57" s="1">
        <f t="shared" si="4"/>
        <v>1</v>
      </c>
      <c r="J57" s="1">
        <f t="shared" si="4"/>
        <v>0</v>
      </c>
      <c r="K57" s="1">
        <f t="shared" si="4"/>
        <v>0</v>
      </c>
      <c r="L57" s="1">
        <f t="shared" si="4"/>
        <v>1</v>
      </c>
      <c r="M57" s="1">
        <f t="shared" si="4"/>
        <v>0</v>
      </c>
      <c r="N57" s="1">
        <f t="shared" si="4"/>
        <v>0</v>
      </c>
      <c r="O57" s="1">
        <f t="shared" si="4"/>
        <v>0</v>
      </c>
      <c r="P57" s="1">
        <f t="shared" si="4"/>
        <v>0</v>
      </c>
      <c r="Q57" s="1">
        <f t="shared" si="4"/>
        <v>0</v>
      </c>
      <c r="R57" s="1">
        <f t="shared" si="4"/>
        <v>0</v>
      </c>
      <c r="S57" s="1">
        <f t="shared" si="4"/>
        <v>320</v>
      </c>
      <c r="T57" s="1" t="e">
        <f t="shared" ref="T57:T63" si="5">S57/D57</f>
        <v>#DIV/0!</v>
      </c>
    </row>
    <row r="58" spans="1:21" x14ac:dyDescent="0.3">
      <c r="B58" s="18" t="s">
        <v>25</v>
      </c>
      <c r="C58" s="1">
        <f>C45-$E$45*C59</f>
        <v>0</v>
      </c>
      <c r="D58" s="14">
        <f t="shared" ref="D58:S58" si="6">D45-$E$45*D59</f>
        <v>1</v>
      </c>
      <c r="E58" s="1">
        <f t="shared" si="6"/>
        <v>0</v>
      </c>
      <c r="F58" s="1">
        <f t="shared" si="6"/>
        <v>0</v>
      </c>
      <c r="G58" s="1">
        <f t="shared" si="6"/>
        <v>1</v>
      </c>
      <c r="H58" s="1">
        <f t="shared" si="6"/>
        <v>0</v>
      </c>
      <c r="I58" s="1">
        <f t="shared" si="6"/>
        <v>0</v>
      </c>
      <c r="J58" s="1">
        <f t="shared" si="6"/>
        <v>0</v>
      </c>
      <c r="K58" s="1">
        <f t="shared" si="6"/>
        <v>0</v>
      </c>
      <c r="L58" s="1">
        <f t="shared" si="6"/>
        <v>0</v>
      </c>
      <c r="M58" s="1">
        <f t="shared" si="6"/>
        <v>1</v>
      </c>
      <c r="N58" s="1">
        <f t="shared" si="6"/>
        <v>0</v>
      </c>
      <c r="O58" s="1">
        <f t="shared" si="6"/>
        <v>0</v>
      </c>
      <c r="P58" s="1">
        <f t="shared" si="6"/>
        <v>0</v>
      </c>
      <c r="Q58" s="1">
        <f t="shared" si="6"/>
        <v>0</v>
      </c>
      <c r="R58" s="1">
        <f t="shared" si="6"/>
        <v>0</v>
      </c>
      <c r="S58" s="1">
        <f t="shared" si="6"/>
        <v>150</v>
      </c>
      <c r="T58" s="1">
        <f t="shared" si="5"/>
        <v>150</v>
      </c>
    </row>
    <row r="59" spans="1:21" x14ac:dyDescent="0.3">
      <c r="B59" s="18" t="s">
        <v>94</v>
      </c>
      <c r="C59" s="22">
        <f>C46/$E$46</f>
        <v>0</v>
      </c>
      <c r="D59" s="23">
        <f t="shared" ref="D59:S59" si="7">D46/$E$46</f>
        <v>0</v>
      </c>
      <c r="E59" s="22">
        <f t="shared" si="7"/>
        <v>1</v>
      </c>
      <c r="F59" s="22">
        <f t="shared" si="7"/>
        <v>0</v>
      </c>
      <c r="G59" s="22">
        <f t="shared" si="7"/>
        <v>0</v>
      </c>
      <c r="H59" s="22">
        <f t="shared" si="7"/>
        <v>1</v>
      </c>
      <c r="I59" s="22">
        <f t="shared" si="7"/>
        <v>0</v>
      </c>
      <c r="J59" s="22">
        <f t="shared" si="7"/>
        <v>0</v>
      </c>
      <c r="K59" s="22">
        <f t="shared" si="7"/>
        <v>0</v>
      </c>
      <c r="L59" s="22">
        <f t="shared" si="7"/>
        <v>0</v>
      </c>
      <c r="M59" s="22">
        <f t="shared" si="7"/>
        <v>0</v>
      </c>
      <c r="N59" s="22">
        <f t="shared" si="7"/>
        <v>1</v>
      </c>
      <c r="O59" s="22">
        <f t="shared" si="7"/>
        <v>0</v>
      </c>
      <c r="P59" s="22">
        <f t="shared" si="7"/>
        <v>0</v>
      </c>
      <c r="Q59" s="22">
        <f t="shared" si="7"/>
        <v>0</v>
      </c>
      <c r="R59" s="22">
        <f t="shared" si="7"/>
        <v>0</v>
      </c>
      <c r="S59" s="22">
        <f t="shared" si="7"/>
        <v>80</v>
      </c>
      <c r="T59" s="1" t="e">
        <f t="shared" si="5"/>
        <v>#DIV/0!</v>
      </c>
    </row>
    <row r="60" spans="1:21" x14ac:dyDescent="0.3">
      <c r="B60" s="18" t="s">
        <v>27</v>
      </c>
      <c r="C60" s="1">
        <f>C47-$E$47*C59</f>
        <v>0</v>
      </c>
      <c r="D60" s="14">
        <f t="shared" ref="D60:S60" si="8">D47-$E$47*D59</f>
        <v>0</v>
      </c>
      <c r="E60" s="1">
        <f t="shared" si="8"/>
        <v>0</v>
      </c>
      <c r="F60" s="1">
        <f t="shared" si="8"/>
        <v>1</v>
      </c>
      <c r="G60" s="1">
        <f t="shared" si="8"/>
        <v>0</v>
      </c>
      <c r="H60" s="1">
        <f t="shared" si="8"/>
        <v>0</v>
      </c>
      <c r="I60" s="1">
        <f t="shared" si="8"/>
        <v>1</v>
      </c>
      <c r="J60" s="1">
        <f t="shared" si="8"/>
        <v>0</v>
      </c>
      <c r="K60" s="1">
        <f t="shared" si="8"/>
        <v>0</v>
      </c>
      <c r="L60" s="1">
        <f t="shared" si="8"/>
        <v>0</v>
      </c>
      <c r="M60" s="1">
        <f t="shared" si="8"/>
        <v>0</v>
      </c>
      <c r="N60" s="1">
        <f t="shared" si="8"/>
        <v>0</v>
      </c>
      <c r="O60" s="1">
        <f t="shared" si="8"/>
        <v>1</v>
      </c>
      <c r="P60" s="1">
        <f t="shared" si="8"/>
        <v>0</v>
      </c>
      <c r="Q60" s="1">
        <f t="shared" si="8"/>
        <v>0</v>
      </c>
      <c r="R60" s="1">
        <f t="shared" si="8"/>
        <v>0</v>
      </c>
      <c r="S60" s="1">
        <f t="shared" si="8"/>
        <v>120</v>
      </c>
      <c r="T60" s="1" t="e">
        <f t="shared" si="5"/>
        <v>#DIV/0!</v>
      </c>
    </row>
    <row r="61" spans="1:21" x14ac:dyDescent="0.3">
      <c r="B61" s="18" t="s">
        <v>100</v>
      </c>
      <c r="C61" s="1">
        <f>C48-$E$48*C59</f>
        <v>0</v>
      </c>
      <c r="D61" s="14">
        <f t="shared" ref="D61:S61" si="9">D48-$E$48*D59</f>
        <v>4</v>
      </c>
      <c r="E61" s="1">
        <f t="shared" si="9"/>
        <v>0</v>
      </c>
      <c r="F61" s="1">
        <f t="shared" si="9"/>
        <v>0</v>
      </c>
      <c r="G61" s="1">
        <f t="shared" si="9"/>
        <v>-1</v>
      </c>
      <c r="H61" s="1">
        <f t="shared" si="9"/>
        <v>0</v>
      </c>
      <c r="I61" s="1">
        <f t="shared" si="9"/>
        <v>0</v>
      </c>
      <c r="J61" s="1">
        <f t="shared" si="9"/>
        <v>0</v>
      </c>
      <c r="K61" s="1">
        <f t="shared" si="9"/>
        <v>0</v>
      </c>
      <c r="L61" s="1">
        <f t="shared" si="9"/>
        <v>0</v>
      </c>
      <c r="M61" s="1">
        <f t="shared" si="9"/>
        <v>0</v>
      </c>
      <c r="N61" s="1">
        <f t="shared" si="9"/>
        <v>0</v>
      </c>
      <c r="O61" s="1">
        <f t="shared" si="9"/>
        <v>0</v>
      </c>
      <c r="P61" s="1">
        <f t="shared" si="9"/>
        <v>1</v>
      </c>
      <c r="Q61" s="1">
        <f t="shared" si="9"/>
        <v>0</v>
      </c>
      <c r="R61" s="1">
        <f t="shared" si="9"/>
        <v>0</v>
      </c>
      <c r="S61" s="1">
        <f t="shared" si="9"/>
        <v>0</v>
      </c>
      <c r="T61" s="1">
        <f t="shared" si="5"/>
        <v>0</v>
      </c>
    </row>
    <row r="62" spans="1:21" x14ac:dyDescent="0.3">
      <c r="B62" s="18" t="s">
        <v>101</v>
      </c>
      <c r="C62" s="1">
        <f>C49-$E$49*C59</f>
        <v>0</v>
      </c>
      <c r="D62" s="14">
        <f t="shared" ref="D62:S62" si="10">D49-$E$49*D59</f>
        <v>0</v>
      </c>
      <c r="E62" s="1">
        <f t="shared" si="10"/>
        <v>0</v>
      </c>
      <c r="F62" s="1">
        <f t="shared" si="10"/>
        <v>20</v>
      </c>
      <c r="G62" s="1">
        <f t="shared" si="10"/>
        <v>-40</v>
      </c>
      <c r="H62" s="1">
        <f t="shared" si="10"/>
        <v>-20</v>
      </c>
      <c r="I62" s="1">
        <f t="shared" si="10"/>
        <v>0</v>
      </c>
      <c r="J62" s="1">
        <f t="shared" si="10"/>
        <v>0</v>
      </c>
      <c r="K62" s="1">
        <f t="shared" si="10"/>
        <v>0</v>
      </c>
      <c r="L62" s="1">
        <f t="shared" si="10"/>
        <v>0</v>
      </c>
      <c r="M62" s="1">
        <f t="shared" si="10"/>
        <v>0</v>
      </c>
      <c r="N62" s="1">
        <f t="shared" si="10"/>
        <v>-20</v>
      </c>
      <c r="O62" s="1">
        <f t="shared" si="10"/>
        <v>0</v>
      </c>
      <c r="P62" s="1">
        <f t="shared" si="10"/>
        <v>0</v>
      </c>
      <c r="Q62" s="1">
        <f t="shared" si="10"/>
        <v>1</v>
      </c>
      <c r="R62" s="1">
        <f t="shared" si="10"/>
        <v>0</v>
      </c>
      <c r="S62" s="1">
        <f t="shared" si="10"/>
        <v>-1600</v>
      </c>
      <c r="T62" s="1" t="e">
        <f t="shared" si="5"/>
        <v>#DIV/0!</v>
      </c>
    </row>
    <row r="63" spans="1:21" x14ac:dyDescent="0.3">
      <c r="B63" s="18" t="s">
        <v>102</v>
      </c>
      <c r="C63" s="1">
        <f>C50-$E$50*C59</f>
        <v>0</v>
      </c>
      <c r="D63" s="14">
        <f t="shared" ref="D63:S63" si="11">D50-$E$50*D59</f>
        <v>0</v>
      </c>
      <c r="E63" s="1">
        <f t="shared" si="11"/>
        <v>0</v>
      </c>
      <c r="F63" s="1">
        <f t="shared" si="11"/>
        <v>-1</v>
      </c>
      <c r="G63" s="1">
        <f t="shared" si="11"/>
        <v>0</v>
      </c>
      <c r="H63" s="1">
        <f t="shared" si="11"/>
        <v>-1</v>
      </c>
      <c r="I63" s="1">
        <f t="shared" si="11"/>
        <v>0</v>
      </c>
      <c r="J63" s="1">
        <f t="shared" si="11"/>
        <v>-1</v>
      </c>
      <c r="K63" s="1">
        <f t="shared" si="11"/>
        <v>0</v>
      </c>
      <c r="L63" s="1">
        <f t="shared" si="11"/>
        <v>0</v>
      </c>
      <c r="M63" s="1">
        <f t="shared" si="11"/>
        <v>0</v>
      </c>
      <c r="N63" s="1">
        <f t="shared" si="11"/>
        <v>-1</v>
      </c>
      <c r="O63" s="1">
        <f t="shared" si="11"/>
        <v>0</v>
      </c>
      <c r="P63" s="1">
        <f t="shared" si="11"/>
        <v>0</v>
      </c>
      <c r="Q63" s="1">
        <f t="shared" si="11"/>
        <v>0</v>
      </c>
      <c r="R63" s="1">
        <f t="shared" si="11"/>
        <v>1</v>
      </c>
      <c r="S63" s="1">
        <f t="shared" si="11"/>
        <v>-80</v>
      </c>
      <c r="T63" s="1" t="e">
        <f t="shared" si="5"/>
        <v>#DIV/0!</v>
      </c>
    </row>
    <row r="66" spans="2:21" x14ac:dyDescent="0.3">
      <c r="B66" s="2" t="s">
        <v>41</v>
      </c>
      <c r="I66" s="2" t="s">
        <v>34</v>
      </c>
    </row>
    <row r="67" spans="2:21" x14ac:dyDescent="0.3">
      <c r="B67" s="16" t="s">
        <v>23</v>
      </c>
      <c r="C67" s="17" t="s">
        <v>24</v>
      </c>
      <c r="D67" s="17" t="s">
        <v>93</v>
      </c>
      <c r="E67" s="17" t="s">
        <v>94</v>
      </c>
      <c r="F67" s="17" t="s">
        <v>95</v>
      </c>
      <c r="G67" s="17" t="s">
        <v>96</v>
      </c>
      <c r="H67" s="17" t="s">
        <v>97</v>
      </c>
      <c r="I67" s="20" t="s">
        <v>98</v>
      </c>
      <c r="J67" s="17" t="s">
        <v>64</v>
      </c>
      <c r="K67" s="17" t="s">
        <v>65</v>
      </c>
      <c r="L67" s="17" t="s">
        <v>66</v>
      </c>
      <c r="M67" s="17" t="s">
        <v>25</v>
      </c>
      <c r="N67" s="17" t="s">
        <v>26</v>
      </c>
      <c r="O67" s="17" t="s">
        <v>27</v>
      </c>
      <c r="P67" s="17" t="s">
        <v>100</v>
      </c>
      <c r="Q67" s="17" t="s">
        <v>101</v>
      </c>
      <c r="R67" s="17" t="s">
        <v>102</v>
      </c>
      <c r="S67" s="17" t="s">
        <v>28</v>
      </c>
      <c r="T67" s="17" t="s">
        <v>103</v>
      </c>
    </row>
    <row r="68" spans="2:21" x14ac:dyDescent="0.3">
      <c r="B68" s="18" t="s">
        <v>24</v>
      </c>
      <c r="C68" s="1">
        <f>C55-$D$55*C69</f>
        <v>1</v>
      </c>
      <c r="D68" s="1">
        <f t="shared" ref="D68:S68" si="12">D55-$D$55*D69</f>
        <v>0</v>
      </c>
      <c r="E68" s="1">
        <f t="shared" si="12"/>
        <v>0</v>
      </c>
      <c r="F68" s="1">
        <f t="shared" si="12"/>
        <v>-1000</v>
      </c>
      <c r="G68" s="1">
        <f t="shared" si="12"/>
        <v>960</v>
      </c>
      <c r="H68" s="1">
        <f t="shared" si="12"/>
        <v>-40</v>
      </c>
      <c r="I68" s="14">
        <f t="shared" si="12"/>
        <v>980</v>
      </c>
      <c r="J68" s="1">
        <f t="shared" si="12"/>
        <v>-1000</v>
      </c>
      <c r="K68" s="1">
        <f t="shared" si="12"/>
        <v>-980</v>
      </c>
      <c r="L68" s="1">
        <f t="shared" si="12"/>
        <v>0</v>
      </c>
      <c r="M68" s="1">
        <f t="shared" si="12"/>
        <v>0</v>
      </c>
      <c r="N68" s="1">
        <f t="shared" si="12"/>
        <v>-1000</v>
      </c>
      <c r="O68" s="1">
        <f t="shared" si="12"/>
        <v>0</v>
      </c>
      <c r="P68" s="1">
        <f t="shared" si="12"/>
        <v>0</v>
      </c>
      <c r="Q68" s="1">
        <f t="shared" si="12"/>
        <v>0</v>
      </c>
      <c r="R68" s="1">
        <f t="shared" si="12"/>
        <v>0</v>
      </c>
      <c r="S68" s="1">
        <f t="shared" si="12"/>
        <v>132800</v>
      </c>
      <c r="T68" s="1" t="s">
        <v>35</v>
      </c>
    </row>
    <row r="69" spans="2:21" x14ac:dyDescent="0.3">
      <c r="B69" s="18" t="s">
        <v>93</v>
      </c>
      <c r="C69" s="22">
        <f>C56/$D$56</f>
        <v>0</v>
      </c>
      <c r="D69" s="22">
        <f t="shared" ref="D69:S69" si="13">D56/$D$56</f>
        <v>1</v>
      </c>
      <c r="E69" s="22">
        <f t="shared" si="13"/>
        <v>0</v>
      </c>
      <c r="F69" s="22">
        <f t="shared" si="13"/>
        <v>1</v>
      </c>
      <c r="G69" s="22">
        <f t="shared" si="13"/>
        <v>0</v>
      </c>
      <c r="H69" s="22">
        <f t="shared" si="13"/>
        <v>-1</v>
      </c>
      <c r="I69" s="23">
        <f t="shared" si="13"/>
        <v>0</v>
      </c>
      <c r="J69" s="22">
        <f t="shared" si="13"/>
        <v>0</v>
      </c>
      <c r="K69" s="22">
        <f t="shared" si="13"/>
        <v>1</v>
      </c>
      <c r="L69" s="22">
        <f t="shared" si="13"/>
        <v>0</v>
      </c>
      <c r="M69" s="22">
        <f t="shared" si="13"/>
        <v>0</v>
      </c>
      <c r="N69" s="22">
        <f t="shared" si="13"/>
        <v>-1</v>
      </c>
      <c r="O69" s="22">
        <f t="shared" si="13"/>
        <v>0</v>
      </c>
      <c r="P69" s="22">
        <f t="shared" si="13"/>
        <v>0</v>
      </c>
      <c r="Q69" s="22">
        <f t="shared" si="13"/>
        <v>0</v>
      </c>
      <c r="R69" s="22">
        <f t="shared" si="13"/>
        <v>0</v>
      </c>
      <c r="S69" s="22">
        <f t="shared" si="13"/>
        <v>60</v>
      </c>
      <c r="T69" s="1" t="e">
        <f>S69/I69</f>
        <v>#DIV/0!</v>
      </c>
    </row>
    <row r="70" spans="2:21" x14ac:dyDescent="0.3">
      <c r="B70" s="18" t="s">
        <v>66</v>
      </c>
      <c r="C70" s="1">
        <f>C57-$D$57*C69</f>
        <v>0</v>
      </c>
      <c r="D70" s="1">
        <f t="shared" ref="D70:S70" si="14">D57-$D$57*D69</f>
        <v>0</v>
      </c>
      <c r="E70" s="1">
        <f t="shared" si="14"/>
        <v>0</v>
      </c>
      <c r="F70" s="1">
        <f t="shared" si="14"/>
        <v>0</v>
      </c>
      <c r="G70" s="1">
        <f t="shared" si="14"/>
        <v>1</v>
      </c>
      <c r="H70" s="1">
        <f t="shared" si="14"/>
        <v>1</v>
      </c>
      <c r="I70" s="14">
        <f t="shared" si="14"/>
        <v>1</v>
      </c>
      <c r="J70" s="1">
        <f t="shared" si="14"/>
        <v>0</v>
      </c>
      <c r="K70" s="1">
        <f t="shared" si="14"/>
        <v>0</v>
      </c>
      <c r="L70" s="1">
        <f t="shared" si="14"/>
        <v>1</v>
      </c>
      <c r="M70" s="1">
        <f t="shared" si="14"/>
        <v>0</v>
      </c>
      <c r="N70" s="1">
        <f t="shared" si="14"/>
        <v>0</v>
      </c>
      <c r="O70" s="1">
        <f t="shared" si="14"/>
        <v>0</v>
      </c>
      <c r="P70" s="1">
        <f t="shared" si="14"/>
        <v>0</v>
      </c>
      <c r="Q70" s="1">
        <f t="shared" si="14"/>
        <v>0</v>
      </c>
      <c r="R70" s="1">
        <f t="shared" si="14"/>
        <v>0</v>
      </c>
      <c r="S70" s="1">
        <f t="shared" si="14"/>
        <v>320</v>
      </c>
      <c r="T70" s="1">
        <f t="shared" ref="T70:T76" si="15">S70/I70</f>
        <v>320</v>
      </c>
    </row>
    <row r="71" spans="2:21" x14ac:dyDescent="0.3">
      <c r="B71" s="18" t="s">
        <v>25</v>
      </c>
      <c r="C71" s="1">
        <f>C58-$D$58*C69</f>
        <v>0</v>
      </c>
      <c r="D71" s="1">
        <f t="shared" ref="D71:S71" si="16">D58-$D$58*D69</f>
        <v>0</v>
      </c>
      <c r="E71" s="1">
        <f t="shared" si="16"/>
        <v>0</v>
      </c>
      <c r="F71" s="1">
        <f t="shared" si="16"/>
        <v>-1</v>
      </c>
      <c r="G71" s="1">
        <f t="shared" si="16"/>
        <v>1</v>
      </c>
      <c r="H71" s="1">
        <f t="shared" si="16"/>
        <v>1</v>
      </c>
      <c r="I71" s="14">
        <f t="shared" si="16"/>
        <v>0</v>
      </c>
      <c r="J71" s="1">
        <f t="shared" si="16"/>
        <v>0</v>
      </c>
      <c r="K71" s="1">
        <f t="shared" si="16"/>
        <v>-1</v>
      </c>
      <c r="L71" s="1">
        <f t="shared" si="16"/>
        <v>0</v>
      </c>
      <c r="M71" s="1">
        <f t="shared" si="16"/>
        <v>1</v>
      </c>
      <c r="N71" s="1">
        <f t="shared" si="16"/>
        <v>1</v>
      </c>
      <c r="O71" s="1">
        <f t="shared" si="16"/>
        <v>0</v>
      </c>
      <c r="P71" s="1">
        <f t="shared" si="16"/>
        <v>0</v>
      </c>
      <c r="Q71" s="1">
        <f t="shared" si="16"/>
        <v>0</v>
      </c>
      <c r="R71" s="1">
        <f t="shared" si="16"/>
        <v>0</v>
      </c>
      <c r="S71" s="1">
        <f t="shared" si="16"/>
        <v>90</v>
      </c>
      <c r="T71" s="1" t="e">
        <f t="shared" si="15"/>
        <v>#DIV/0!</v>
      </c>
    </row>
    <row r="72" spans="2:21" x14ac:dyDescent="0.3">
      <c r="B72" s="18" t="s">
        <v>94</v>
      </c>
      <c r="C72" s="1">
        <f>C59-$D$59*C69</f>
        <v>0</v>
      </c>
      <c r="D72" s="1">
        <f t="shared" ref="D72:S72" si="17">D59-$D$59*D69</f>
        <v>0</v>
      </c>
      <c r="E72" s="1">
        <f t="shared" si="17"/>
        <v>1</v>
      </c>
      <c r="F72" s="1">
        <f t="shared" si="17"/>
        <v>0</v>
      </c>
      <c r="G72" s="1">
        <f t="shared" si="17"/>
        <v>0</v>
      </c>
      <c r="H72" s="1">
        <f t="shared" si="17"/>
        <v>1</v>
      </c>
      <c r="I72" s="14">
        <f t="shared" si="17"/>
        <v>0</v>
      </c>
      <c r="J72" s="1">
        <f t="shared" si="17"/>
        <v>0</v>
      </c>
      <c r="K72" s="1">
        <f t="shared" si="17"/>
        <v>0</v>
      </c>
      <c r="L72" s="1">
        <f t="shared" si="17"/>
        <v>0</v>
      </c>
      <c r="M72" s="1">
        <f t="shared" si="17"/>
        <v>0</v>
      </c>
      <c r="N72" s="1">
        <f t="shared" si="17"/>
        <v>1</v>
      </c>
      <c r="O72" s="1">
        <f t="shared" si="17"/>
        <v>0</v>
      </c>
      <c r="P72" s="1">
        <f t="shared" si="17"/>
        <v>0</v>
      </c>
      <c r="Q72" s="1">
        <f t="shared" si="17"/>
        <v>0</v>
      </c>
      <c r="R72" s="1">
        <f t="shared" si="17"/>
        <v>0</v>
      </c>
      <c r="S72" s="1">
        <f t="shared" si="17"/>
        <v>80</v>
      </c>
      <c r="T72" s="1" t="e">
        <f t="shared" si="15"/>
        <v>#DIV/0!</v>
      </c>
    </row>
    <row r="73" spans="2:21" x14ac:dyDescent="0.3">
      <c r="B73" s="13" t="s">
        <v>27</v>
      </c>
      <c r="C73" s="14">
        <f>C60-$D$60*C69</f>
        <v>0</v>
      </c>
      <c r="D73" s="14">
        <f t="shared" ref="D73:S73" si="18">D60-$D$60*D69</f>
        <v>0</v>
      </c>
      <c r="E73" s="14">
        <f t="shared" si="18"/>
        <v>0</v>
      </c>
      <c r="F73" s="14">
        <f t="shared" si="18"/>
        <v>1</v>
      </c>
      <c r="G73" s="14">
        <f t="shared" si="18"/>
        <v>0</v>
      </c>
      <c r="H73" s="14">
        <f t="shared" si="18"/>
        <v>0</v>
      </c>
      <c r="I73" s="14">
        <f t="shared" si="18"/>
        <v>1</v>
      </c>
      <c r="J73" s="14">
        <f t="shared" si="18"/>
        <v>0</v>
      </c>
      <c r="K73" s="14">
        <f t="shared" si="18"/>
        <v>0</v>
      </c>
      <c r="L73" s="14">
        <f t="shared" si="18"/>
        <v>0</v>
      </c>
      <c r="M73" s="14">
        <f t="shared" si="18"/>
        <v>0</v>
      </c>
      <c r="N73" s="14">
        <f t="shared" si="18"/>
        <v>0</v>
      </c>
      <c r="O73" s="14">
        <f t="shared" si="18"/>
        <v>1</v>
      </c>
      <c r="P73" s="14">
        <f t="shared" si="18"/>
        <v>0</v>
      </c>
      <c r="Q73" s="14">
        <f t="shared" si="18"/>
        <v>0</v>
      </c>
      <c r="R73" s="14">
        <f t="shared" si="18"/>
        <v>0</v>
      </c>
      <c r="S73" s="14">
        <f t="shared" si="18"/>
        <v>120</v>
      </c>
      <c r="T73" s="1">
        <f t="shared" si="15"/>
        <v>120</v>
      </c>
      <c r="U73" t="s">
        <v>36</v>
      </c>
    </row>
    <row r="74" spans="2:21" x14ac:dyDescent="0.3">
      <c r="B74" s="18" t="s">
        <v>100</v>
      </c>
      <c r="C74" s="1">
        <f>C61-$D$61*C69</f>
        <v>0</v>
      </c>
      <c r="D74" s="1">
        <f t="shared" ref="D74:S74" si="19">D61-$D$61*D69</f>
        <v>0</v>
      </c>
      <c r="E74" s="1">
        <f t="shared" si="19"/>
        <v>0</v>
      </c>
      <c r="F74" s="1">
        <f t="shared" si="19"/>
        <v>-4</v>
      </c>
      <c r="G74" s="1">
        <f t="shared" si="19"/>
        <v>-1</v>
      </c>
      <c r="H74" s="1">
        <f t="shared" si="19"/>
        <v>4</v>
      </c>
      <c r="I74" s="14">
        <f t="shared" si="19"/>
        <v>0</v>
      </c>
      <c r="J74" s="1">
        <f t="shared" si="19"/>
        <v>0</v>
      </c>
      <c r="K74" s="1">
        <f t="shared" si="19"/>
        <v>-4</v>
      </c>
      <c r="L74" s="1">
        <f t="shared" si="19"/>
        <v>0</v>
      </c>
      <c r="M74" s="1">
        <f t="shared" si="19"/>
        <v>0</v>
      </c>
      <c r="N74" s="1">
        <f t="shared" si="19"/>
        <v>4</v>
      </c>
      <c r="O74" s="1">
        <f t="shared" si="19"/>
        <v>0</v>
      </c>
      <c r="P74" s="1">
        <f t="shared" si="19"/>
        <v>1</v>
      </c>
      <c r="Q74" s="1">
        <f t="shared" si="19"/>
        <v>0</v>
      </c>
      <c r="R74" s="1">
        <f t="shared" si="19"/>
        <v>0</v>
      </c>
      <c r="S74" s="1">
        <f t="shared" si="19"/>
        <v>-240</v>
      </c>
      <c r="T74" s="1" t="e">
        <f t="shared" si="15"/>
        <v>#DIV/0!</v>
      </c>
    </row>
    <row r="75" spans="2:21" x14ac:dyDescent="0.3">
      <c r="B75" s="18" t="s">
        <v>101</v>
      </c>
      <c r="C75" s="1">
        <f>C62-$D$62*C69</f>
        <v>0</v>
      </c>
      <c r="D75" s="1">
        <f t="shared" ref="D75:S75" si="20">D62-$D$62*D69</f>
        <v>0</v>
      </c>
      <c r="E75" s="1">
        <f t="shared" si="20"/>
        <v>0</v>
      </c>
      <c r="F75" s="1">
        <f t="shared" si="20"/>
        <v>20</v>
      </c>
      <c r="G75" s="1">
        <f t="shared" si="20"/>
        <v>-40</v>
      </c>
      <c r="H75" s="1">
        <f t="shared" si="20"/>
        <v>-20</v>
      </c>
      <c r="I75" s="14">
        <f t="shared" si="20"/>
        <v>0</v>
      </c>
      <c r="J75" s="1">
        <f t="shared" si="20"/>
        <v>0</v>
      </c>
      <c r="K75" s="1">
        <f t="shared" si="20"/>
        <v>0</v>
      </c>
      <c r="L75" s="1">
        <f t="shared" si="20"/>
        <v>0</v>
      </c>
      <c r="M75" s="1">
        <f t="shared" si="20"/>
        <v>0</v>
      </c>
      <c r="N75" s="1">
        <f t="shared" si="20"/>
        <v>-20</v>
      </c>
      <c r="O75" s="1">
        <f t="shared" si="20"/>
        <v>0</v>
      </c>
      <c r="P75" s="1">
        <f t="shared" si="20"/>
        <v>0</v>
      </c>
      <c r="Q75" s="1">
        <f t="shared" si="20"/>
        <v>1</v>
      </c>
      <c r="R75" s="1">
        <f t="shared" si="20"/>
        <v>0</v>
      </c>
      <c r="S75" s="1">
        <f t="shared" si="20"/>
        <v>-1600</v>
      </c>
      <c r="T75" s="1" t="e">
        <f t="shared" si="15"/>
        <v>#DIV/0!</v>
      </c>
    </row>
    <row r="76" spans="2:21" x14ac:dyDescent="0.3">
      <c r="B76" s="18" t="s">
        <v>102</v>
      </c>
      <c r="C76" s="1">
        <f>C63-$D$63*C69</f>
        <v>0</v>
      </c>
      <c r="D76" s="1">
        <f t="shared" ref="D76:S76" si="21">D63-$D$63*D69</f>
        <v>0</v>
      </c>
      <c r="E76" s="1">
        <f t="shared" si="21"/>
        <v>0</v>
      </c>
      <c r="F76" s="1">
        <f t="shared" si="21"/>
        <v>-1</v>
      </c>
      <c r="G76" s="1">
        <f t="shared" si="21"/>
        <v>0</v>
      </c>
      <c r="H76" s="1">
        <f t="shared" si="21"/>
        <v>-1</v>
      </c>
      <c r="I76" s="14">
        <f t="shared" si="21"/>
        <v>0</v>
      </c>
      <c r="J76" s="1">
        <f t="shared" si="21"/>
        <v>-1</v>
      </c>
      <c r="K76" s="1">
        <f t="shared" si="21"/>
        <v>0</v>
      </c>
      <c r="L76" s="1">
        <f t="shared" si="21"/>
        <v>0</v>
      </c>
      <c r="M76" s="1">
        <f t="shared" si="21"/>
        <v>0</v>
      </c>
      <c r="N76" s="1">
        <f t="shared" si="21"/>
        <v>-1</v>
      </c>
      <c r="O76" s="1">
        <f t="shared" si="21"/>
        <v>0</v>
      </c>
      <c r="P76" s="1">
        <f t="shared" si="21"/>
        <v>0</v>
      </c>
      <c r="Q76" s="1">
        <f t="shared" si="21"/>
        <v>0</v>
      </c>
      <c r="R76" s="1">
        <f t="shared" si="21"/>
        <v>1</v>
      </c>
      <c r="S76" s="1">
        <f t="shared" si="21"/>
        <v>-80</v>
      </c>
      <c r="T76" s="1" t="e">
        <f t="shared" si="15"/>
        <v>#DIV/0!</v>
      </c>
    </row>
    <row r="79" spans="2:21" x14ac:dyDescent="0.3">
      <c r="B79" s="2" t="s">
        <v>42</v>
      </c>
      <c r="G79" s="2" t="s">
        <v>34</v>
      </c>
    </row>
    <row r="80" spans="2:21" x14ac:dyDescent="0.3">
      <c r="B80" s="16" t="s">
        <v>23</v>
      </c>
      <c r="C80" s="17" t="s">
        <v>24</v>
      </c>
      <c r="D80" s="17" t="s">
        <v>93</v>
      </c>
      <c r="E80" s="17" t="s">
        <v>94</v>
      </c>
      <c r="F80" s="17" t="s">
        <v>95</v>
      </c>
      <c r="G80" s="20" t="s">
        <v>96</v>
      </c>
      <c r="H80" s="17" t="s">
        <v>97</v>
      </c>
      <c r="I80" s="17" t="s">
        <v>98</v>
      </c>
      <c r="J80" s="17" t="s">
        <v>64</v>
      </c>
      <c r="K80" s="17" t="s">
        <v>65</v>
      </c>
      <c r="L80" s="17" t="s">
        <v>66</v>
      </c>
      <c r="M80" s="17" t="s">
        <v>25</v>
      </c>
      <c r="N80" s="17" t="s">
        <v>26</v>
      </c>
      <c r="O80" s="17" t="s">
        <v>27</v>
      </c>
      <c r="P80" s="17" t="s">
        <v>100</v>
      </c>
      <c r="Q80" s="17" t="s">
        <v>101</v>
      </c>
      <c r="R80" s="17" t="s">
        <v>102</v>
      </c>
      <c r="S80" s="17" t="s">
        <v>28</v>
      </c>
      <c r="T80" s="17" t="s">
        <v>103</v>
      </c>
    </row>
    <row r="81" spans="2:21" x14ac:dyDescent="0.3">
      <c r="B81" s="18" t="s">
        <v>24</v>
      </c>
      <c r="C81" s="1">
        <f>C68-$I$68*C86</f>
        <v>1</v>
      </c>
      <c r="D81" s="1">
        <f t="shared" ref="D81:S81" si="22">D68-$I$68*D86</f>
        <v>0</v>
      </c>
      <c r="E81" s="1">
        <f t="shared" si="22"/>
        <v>0</v>
      </c>
      <c r="F81" s="1">
        <f t="shared" si="22"/>
        <v>-1980</v>
      </c>
      <c r="G81" s="14">
        <f t="shared" si="22"/>
        <v>960</v>
      </c>
      <c r="H81" s="1">
        <f t="shared" si="22"/>
        <v>-40</v>
      </c>
      <c r="I81" s="1">
        <f t="shared" si="22"/>
        <v>0</v>
      </c>
      <c r="J81" s="1">
        <f t="shared" si="22"/>
        <v>-1000</v>
      </c>
      <c r="K81" s="1">
        <f t="shared" si="22"/>
        <v>-980</v>
      </c>
      <c r="L81" s="1">
        <f t="shared" si="22"/>
        <v>0</v>
      </c>
      <c r="M81" s="1">
        <f t="shared" si="22"/>
        <v>0</v>
      </c>
      <c r="N81" s="1">
        <f t="shared" si="22"/>
        <v>-1000</v>
      </c>
      <c r="O81" s="1">
        <f t="shared" si="22"/>
        <v>-980</v>
      </c>
      <c r="P81" s="1">
        <f t="shared" si="22"/>
        <v>0</v>
      </c>
      <c r="Q81" s="1">
        <f t="shared" si="22"/>
        <v>0</v>
      </c>
      <c r="R81" s="1">
        <f t="shared" si="22"/>
        <v>0</v>
      </c>
      <c r="S81" s="1">
        <f t="shared" si="22"/>
        <v>15200</v>
      </c>
      <c r="T81" s="1" t="s">
        <v>35</v>
      </c>
    </row>
    <row r="82" spans="2:21" x14ac:dyDescent="0.3">
      <c r="B82" s="18" t="s">
        <v>93</v>
      </c>
      <c r="C82" s="1">
        <f>C69-$I$69*C86</f>
        <v>0</v>
      </c>
      <c r="D82" s="1">
        <f t="shared" ref="D82:S82" si="23">D69-$I$69*D86</f>
        <v>1</v>
      </c>
      <c r="E82" s="1">
        <f t="shared" si="23"/>
        <v>0</v>
      </c>
      <c r="F82" s="1">
        <f t="shared" si="23"/>
        <v>1</v>
      </c>
      <c r="G82" s="14">
        <f t="shared" si="23"/>
        <v>0</v>
      </c>
      <c r="H82" s="1">
        <f t="shared" si="23"/>
        <v>-1</v>
      </c>
      <c r="I82" s="1">
        <f t="shared" si="23"/>
        <v>0</v>
      </c>
      <c r="J82" s="1">
        <f t="shared" si="23"/>
        <v>0</v>
      </c>
      <c r="K82" s="1">
        <f t="shared" si="23"/>
        <v>1</v>
      </c>
      <c r="L82" s="1">
        <f t="shared" si="23"/>
        <v>0</v>
      </c>
      <c r="M82" s="1">
        <f t="shared" si="23"/>
        <v>0</v>
      </c>
      <c r="N82" s="1">
        <f t="shared" si="23"/>
        <v>-1</v>
      </c>
      <c r="O82" s="1">
        <f t="shared" si="23"/>
        <v>0</v>
      </c>
      <c r="P82" s="1">
        <f t="shared" si="23"/>
        <v>0</v>
      </c>
      <c r="Q82" s="1">
        <f t="shared" si="23"/>
        <v>0</v>
      </c>
      <c r="R82" s="1">
        <f t="shared" si="23"/>
        <v>0</v>
      </c>
      <c r="S82" s="1">
        <f t="shared" si="23"/>
        <v>60</v>
      </c>
      <c r="T82" s="1" t="e">
        <f>S82/G82</f>
        <v>#DIV/0!</v>
      </c>
    </row>
    <row r="83" spans="2:21" x14ac:dyDescent="0.3">
      <c r="B83" s="18" t="s">
        <v>66</v>
      </c>
      <c r="C83" s="1">
        <f>C70-$I$70*C86</f>
        <v>0</v>
      </c>
      <c r="D83" s="1">
        <f t="shared" ref="D83:S83" si="24">D70-$I$70*D86</f>
        <v>0</v>
      </c>
      <c r="E83" s="1">
        <f t="shared" si="24"/>
        <v>0</v>
      </c>
      <c r="F83" s="1">
        <f t="shared" si="24"/>
        <v>-1</v>
      </c>
      <c r="G83" s="14">
        <f t="shared" si="24"/>
        <v>1</v>
      </c>
      <c r="H83" s="1">
        <f t="shared" si="24"/>
        <v>1</v>
      </c>
      <c r="I83" s="1">
        <f t="shared" si="24"/>
        <v>0</v>
      </c>
      <c r="J83" s="1">
        <f t="shared" si="24"/>
        <v>0</v>
      </c>
      <c r="K83" s="1">
        <f t="shared" si="24"/>
        <v>0</v>
      </c>
      <c r="L83" s="1">
        <f t="shared" si="24"/>
        <v>1</v>
      </c>
      <c r="M83" s="1">
        <f t="shared" si="24"/>
        <v>0</v>
      </c>
      <c r="N83" s="1">
        <f t="shared" si="24"/>
        <v>0</v>
      </c>
      <c r="O83" s="1">
        <f t="shared" si="24"/>
        <v>-1</v>
      </c>
      <c r="P83" s="1">
        <f t="shared" si="24"/>
        <v>0</v>
      </c>
      <c r="Q83" s="1">
        <f t="shared" si="24"/>
        <v>0</v>
      </c>
      <c r="R83" s="1">
        <f t="shared" si="24"/>
        <v>0</v>
      </c>
      <c r="S83" s="1">
        <f t="shared" si="24"/>
        <v>200</v>
      </c>
      <c r="T83" s="1">
        <f t="shared" ref="T83:T89" si="25">S83/G83</f>
        <v>200</v>
      </c>
    </row>
    <row r="84" spans="2:21" x14ac:dyDescent="0.3">
      <c r="B84" s="18" t="s">
        <v>25</v>
      </c>
      <c r="C84" s="1">
        <f>C71-$I$71*C86</f>
        <v>0</v>
      </c>
      <c r="D84" s="1">
        <f t="shared" ref="D84:S84" si="26">D71-$I$71*D86</f>
        <v>0</v>
      </c>
      <c r="E84" s="1">
        <f t="shared" si="26"/>
        <v>0</v>
      </c>
      <c r="F84" s="1">
        <f t="shared" si="26"/>
        <v>-1</v>
      </c>
      <c r="G84" s="14">
        <f t="shared" si="26"/>
        <v>1</v>
      </c>
      <c r="H84" s="1">
        <f t="shared" si="26"/>
        <v>1</v>
      </c>
      <c r="I84" s="1">
        <f t="shared" si="26"/>
        <v>0</v>
      </c>
      <c r="J84" s="1">
        <f t="shared" si="26"/>
        <v>0</v>
      </c>
      <c r="K84" s="1">
        <f t="shared" si="26"/>
        <v>-1</v>
      </c>
      <c r="L84" s="1">
        <f t="shared" si="26"/>
        <v>0</v>
      </c>
      <c r="M84" s="1">
        <f t="shared" si="26"/>
        <v>1</v>
      </c>
      <c r="N84" s="1">
        <f t="shared" si="26"/>
        <v>1</v>
      </c>
      <c r="O84" s="1">
        <f t="shared" si="26"/>
        <v>0</v>
      </c>
      <c r="P84" s="1">
        <f t="shared" si="26"/>
        <v>0</v>
      </c>
      <c r="Q84" s="1">
        <f t="shared" si="26"/>
        <v>0</v>
      </c>
      <c r="R84" s="1">
        <f t="shared" si="26"/>
        <v>0</v>
      </c>
      <c r="S84" s="1">
        <f t="shared" si="26"/>
        <v>90</v>
      </c>
      <c r="T84" s="1">
        <f t="shared" si="25"/>
        <v>90</v>
      </c>
    </row>
    <row r="85" spans="2:21" x14ac:dyDescent="0.3">
      <c r="B85" s="18" t="s">
        <v>94</v>
      </c>
      <c r="C85" s="1">
        <f>C72-$I$72*C86</f>
        <v>0</v>
      </c>
      <c r="D85" s="1">
        <f t="shared" ref="D85:S85" si="27">D72-$I$72*D86</f>
        <v>0</v>
      </c>
      <c r="E85" s="1">
        <f t="shared" si="27"/>
        <v>1</v>
      </c>
      <c r="F85" s="1">
        <f t="shared" si="27"/>
        <v>0</v>
      </c>
      <c r="G85" s="14">
        <f t="shared" si="27"/>
        <v>0</v>
      </c>
      <c r="H85" s="1">
        <f t="shared" si="27"/>
        <v>1</v>
      </c>
      <c r="I85" s="1">
        <f t="shared" si="27"/>
        <v>0</v>
      </c>
      <c r="J85" s="1">
        <f t="shared" si="27"/>
        <v>0</v>
      </c>
      <c r="K85" s="1">
        <f t="shared" si="27"/>
        <v>0</v>
      </c>
      <c r="L85" s="1">
        <f t="shared" si="27"/>
        <v>0</v>
      </c>
      <c r="M85" s="1">
        <f t="shared" si="27"/>
        <v>0</v>
      </c>
      <c r="N85" s="1">
        <f t="shared" si="27"/>
        <v>1</v>
      </c>
      <c r="O85" s="1">
        <f t="shared" si="27"/>
        <v>0</v>
      </c>
      <c r="P85" s="1">
        <f t="shared" si="27"/>
        <v>0</v>
      </c>
      <c r="Q85" s="1">
        <f t="shared" si="27"/>
        <v>0</v>
      </c>
      <c r="R85" s="1">
        <f t="shared" si="27"/>
        <v>0</v>
      </c>
      <c r="S85" s="1">
        <f t="shared" si="27"/>
        <v>80</v>
      </c>
      <c r="T85" s="1" t="e">
        <f t="shared" si="25"/>
        <v>#DIV/0!</v>
      </c>
    </row>
    <row r="86" spans="2:21" x14ac:dyDescent="0.3">
      <c r="B86" s="18" t="s">
        <v>98</v>
      </c>
      <c r="C86" s="22">
        <f>C73/$I$73</f>
        <v>0</v>
      </c>
      <c r="D86" s="22">
        <f t="shared" ref="D86:S86" si="28">D73/$I$73</f>
        <v>0</v>
      </c>
      <c r="E86" s="22">
        <f t="shared" si="28"/>
        <v>0</v>
      </c>
      <c r="F86" s="22">
        <f t="shared" si="28"/>
        <v>1</v>
      </c>
      <c r="G86" s="23">
        <f t="shared" si="28"/>
        <v>0</v>
      </c>
      <c r="H86" s="22">
        <f t="shared" si="28"/>
        <v>0</v>
      </c>
      <c r="I86" s="22">
        <f t="shared" si="28"/>
        <v>1</v>
      </c>
      <c r="J86" s="22">
        <f t="shared" si="28"/>
        <v>0</v>
      </c>
      <c r="K86" s="22">
        <f t="shared" si="28"/>
        <v>0</v>
      </c>
      <c r="L86" s="22">
        <f t="shared" si="28"/>
        <v>0</v>
      </c>
      <c r="M86" s="22">
        <f t="shared" si="28"/>
        <v>0</v>
      </c>
      <c r="N86" s="22">
        <f t="shared" si="28"/>
        <v>0</v>
      </c>
      <c r="O86" s="22">
        <f t="shared" si="28"/>
        <v>1</v>
      </c>
      <c r="P86" s="22">
        <f t="shared" si="28"/>
        <v>0</v>
      </c>
      <c r="Q86" s="22">
        <f t="shared" si="28"/>
        <v>0</v>
      </c>
      <c r="R86" s="22">
        <f t="shared" si="28"/>
        <v>0</v>
      </c>
      <c r="S86" s="22">
        <f t="shared" si="28"/>
        <v>120</v>
      </c>
      <c r="T86" s="1" t="e">
        <f t="shared" si="25"/>
        <v>#DIV/0!</v>
      </c>
    </row>
    <row r="87" spans="2:21" x14ac:dyDescent="0.3">
      <c r="B87" s="18" t="s">
        <v>100</v>
      </c>
      <c r="C87" s="1">
        <f>C74-$I$74*C86</f>
        <v>0</v>
      </c>
      <c r="D87" s="1">
        <f t="shared" ref="D87:S87" si="29">D74-$I$74*D86</f>
        <v>0</v>
      </c>
      <c r="E87" s="1">
        <f t="shared" si="29"/>
        <v>0</v>
      </c>
      <c r="F87" s="1">
        <f t="shared" si="29"/>
        <v>-4</v>
      </c>
      <c r="G87" s="14">
        <f t="shared" si="29"/>
        <v>-1</v>
      </c>
      <c r="H87" s="1">
        <f t="shared" si="29"/>
        <v>4</v>
      </c>
      <c r="I87" s="1">
        <f t="shared" si="29"/>
        <v>0</v>
      </c>
      <c r="J87" s="1">
        <f t="shared" si="29"/>
        <v>0</v>
      </c>
      <c r="K87" s="1">
        <f t="shared" si="29"/>
        <v>-4</v>
      </c>
      <c r="L87" s="1">
        <f t="shared" si="29"/>
        <v>0</v>
      </c>
      <c r="M87" s="1">
        <f t="shared" si="29"/>
        <v>0</v>
      </c>
      <c r="N87" s="1">
        <f t="shared" si="29"/>
        <v>4</v>
      </c>
      <c r="O87" s="1">
        <f t="shared" si="29"/>
        <v>0</v>
      </c>
      <c r="P87" s="1">
        <f t="shared" si="29"/>
        <v>1</v>
      </c>
      <c r="Q87" s="1">
        <f t="shared" si="29"/>
        <v>0</v>
      </c>
      <c r="R87" s="1">
        <f t="shared" si="29"/>
        <v>0</v>
      </c>
      <c r="S87" s="1">
        <f t="shared" si="29"/>
        <v>-240</v>
      </c>
      <c r="T87" s="1">
        <f t="shared" si="25"/>
        <v>240</v>
      </c>
    </row>
    <row r="88" spans="2:21" x14ac:dyDescent="0.3">
      <c r="B88" s="13" t="s">
        <v>101</v>
      </c>
      <c r="C88" s="14">
        <f>C75-$I$75*C86</f>
        <v>0</v>
      </c>
      <c r="D88" s="14">
        <f t="shared" ref="D88:S88" si="30">D75-$I$75*D86</f>
        <v>0</v>
      </c>
      <c r="E88" s="14">
        <f t="shared" si="30"/>
        <v>0</v>
      </c>
      <c r="F88" s="14">
        <f t="shared" si="30"/>
        <v>20</v>
      </c>
      <c r="G88" s="14">
        <f t="shared" si="30"/>
        <v>-40</v>
      </c>
      <c r="H88" s="14">
        <f t="shared" si="30"/>
        <v>-20</v>
      </c>
      <c r="I88" s="14">
        <f t="shared" si="30"/>
        <v>0</v>
      </c>
      <c r="J88" s="14">
        <f t="shared" si="30"/>
        <v>0</v>
      </c>
      <c r="K88" s="14">
        <f t="shared" si="30"/>
        <v>0</v>
      </c>
      <c r="L88" s="14">
        <f t="shared" si="30"/>
        <v>0</v>
      </c>
      <c r="M88" s="14">
        <f t="shared" si="30"/>
        <v>0</v>
      </c>
      <c r="N88" s="14">
        <f t="shared" si="30"/>
        <v>-20</v>
      </c>
      <c r="O88" s="14">
        <f t="shared" si="30"/>
        <v>0</v>
      </c>
      <c r="P88" s="14">
        <f t="shared" si="30"/>
        <v>0</v>
      </c>
      <c r="Q88" s="14">
        <f t="shared" si="30"/>
        <v>1</v>
      </c>
      <c r="R88" s="14">
        <f t="shared" si="30"/>
        <v>0</v>
      </c>
      <c r="S88" s="14">
        <f t="shared" si="30"/>
        <v>-1600</v>
      </c>
      <c r="T88" s="1">
        <f t="shared" si="25"/>
        <v>40</v>
      </c>
      <c r="U88" t="s">
        <v>36</v>
      </c>
    </row>
    <row r="89" spans="2:21" x14ac:dyDescent="0.3">
      <c r="B89" s="18" t="s">
        <v>102</v>
      </c>
      <c r="C89" s="1">
        <f>C76-$I$76*C86</f>
        <v>0</v>
      </c>
      <c r="D89" s="1">
        <f t="shared" ref="D89:S89" si="31">D76-$I$76*D86</f>
        <v>0</v>
      </c>
      <c r="E89" s="1">
        <f t="shared" si="31"/>
        <v>0</v>
      </c>
      <c r="F89" s="1">
        <f t="shared" si="31"/>
        <v>-1</v>
      </c>
      <c r="G89" s="14">
        <f t="shared" si="31"/>
        <v>0</v>
      </c>
      <c r="H89" s="1">
        <f t="shared" si="31"/>
        <v>-1</v>
      </c>
      <c r="I89" s="1">
        <f t="shared" si="31"/>
        <v>0</v>
      </c>
      <c r="J89" s="1">
        <f t="shared" si="31"/>
        <v>-1</v>
      </c>
      <c r="K89" s="1">
        <f t="shared" si="31"/>
        <v>0</v>
      </c>
      <c r="L89" s="1">
        <f t="shared" si="31"/>
        <v>0</v>
      </c>
      <c r="M89" s="1">
        <f t="shared" si="31"/>
        <v>0</v>
      </c>
      <c r="N89" s="1">
        <f t="shared" si="31"/>
        <v>-1</v>
      </c>
      <c r="O89" s="1">
        <f t="shared" si="31"/>
        <v>0</v>
      </c>
      <c r="P89" s="1">
        <f t="shared" si="31"/>
        <v>0</v>
      </c>
      <c r="Q89" s="1">
        <f t="shared" si="31"/>
        <v>0</v>
      </c>
      <c r="R89" s="1">
        <f t="shared" si="31"/>
        <v>1</v>
      </c>
      <c r="S89" s="1">
        <f t="shared" si="31"/>
        <v>-80</v>
      </c>
      <c r="T89" s="1" t="e">
        <f t="shared" si="25"/>
        <v>#DIV/0!</v>
      </c>
    </row>
    <row r="92" spans="2:21" x14ac:dyDescent="0.3">
      <c r="B92" s="2" t="s">
        <v>43</v>
      </c>
      <c r="C92" s="1"/>
      <c r="D92" s="1"/>
      <c r="E92" s="1"/>
      <c r="F92" s="2" t="s">
        <v>34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2:21" x14ac:dyDescent="0.3">
      <c r="B93" s="16" t="s">
        <v>23</v>
      </c>
      <c r="C93" s="17" t="s">
        <v>24</v>
      </c>
      <c r="D93" s="17" t="s">
        <v>93</v>
      </c>
      <c r="E93" s="17" t="s">
        <v>94</v>
      </c>
      <c r="F93" s="20" t="s">
        <v>95</v>
      </c>
      <c r="G93" s="17" t="s">
        <v>96</v>
      </c>
      <c r="H93" s="17" t="s">
        <v>97</v>
      </c>
      <c r="I93" s="17" t="s">
        <v>98</v>
      </c>
      <c r="J93" s="17" t="s">
        <v>64</v>
      </c>
      <c r="K93" s="17" t="s">
        <v>65</v>
      </c>
      <c r="L93" s="17" t="s">
        <v>66</v>
      </c>
      <c r="M93" s="17" t="s">
        <v>25</v>
      </c>
      <c r="N93" s="17" t="s">
        <v>26</v>
      </c>
      <c r="O93" s="17" t="s">
        <v>27</v>
      </c>
      <c r="P93" s="17" t="s">
        <v>100</v>
      </c>
      <c r="Q93" s="17" t="s">
        <v>101</v>
      </c>
      <c r="R93" s="17" t="s">
        <v>102</v>
      </c>
      <c r="S93" s="17" t="s">
        <v>28</v>
      </c>
      <c r="T93" s="17" t="s">
        <v>103</v>
      </c>
    </row>
    <row r="94" spans="2:21" x14ac:dyDescent="0.3">
      <c r="B94" s="18" t="s">
        <v>24</v>
      </c>
      <c r="C94" s="1">
        <f>C81-$G$81*C101</f>
        <v>1</v>
      </c>
      <c r="D94" s="1">
        <f t="shared" ref="D94:S94" si="32">D81-$G$81*D101</f>
        <v>0</v>
      </c>
      <c r="E94" s="1">
        <f t="shared" si="32"/>
        <v>0</v>
      </c>
      <c r="F94" s="14">
        <f t="shared" si="32"/>
        <v>-1500</v>
      </c>
      <c r="G94" s="1">
        <f t="shared" si="32"/>
        <v>0</v>
      </c>
      <c r="H94" s="1">
        <f t="shared" si="32"/>
        <v>-520</v>
      </c>
      <c r="I94" s="1">
        <f t="shared" si="32"/>
        <v>0</v>
      </c>
      <c r="J94" s="1">
        <f t="shared" si="32"/>
        <v>-1000</v>
      </c>
      <c r="K94" s="1">
        <f t="shared" si="32"/>
        <v>-980</v>
      </c>
      <c r="L94" s="1">
        <f t="shared" si="32"/>
        <v>0</v>
      </c>
      <c r="M94" s="1">
        <f t="shared" si="32"/>
        <v>0</v>
      </c>
      <c r="N94" s="1">
        <f t="shared" si="32"/>
        <v>-1480</v>
      </c>
      <c r="O94" s="1">
        <f t="shared" si="32"/>
        <v>-980</v>
      </c>
      <c r="P94" s="1">
        <f t="shared" si="32"/>
        <v>0</v>
      </c>
      <c r="Q94" s="1">
        <f t="shared" si="32"/>
        <v>24</v>
      </c>
      <c r="R94" s="1">
        <f t="shared" si="32"/>
        <v>0</v>
      </c>
      <c r="S94" s="1">
        <f t="shared" si="32"/>
        <v>-23200</v>
      </c>
      <c r="T94" s="1"/>
    </row>
    <row r="95" spans="2:21" x14ac:dyDescent="0.3">
      <c r="B95" s="18" t="s">
        <v>93</v>
      </c>
      <c r="C95" s="1">
        <f>C82-$G$82*C101</f>
        <v>0</v>
      </c>
      <c r="D95" s="1">
        <f t="shared" ref="D95:S95" si="33">D82-$G$82*D101</f>
        <v>1</v>
      </c>
      <c r="E95" s="1">
        <f t="shared" si="33"/>
        <v>0</v>
      </c>
      <c r="F95" s="14">
        <f t="shared" si="33"/>
        <v>1</v>
      </c>
      <c r="G95" s="1">
        <f t="shared" si="33"/>
        <v>0</v>
      </c>
      <c r="H95" s="1">
        <f t="shared" si="33"/>
        <v>-1</v>
      </c>
      <c r="I95" s="1">
        <f t="shared" si="33"/>
        <v>0</v>
      </c>
      <c r="J95" s="1">
        <f t="shared" si="33"/>
        <v>0</v>
      </c>
      <c r="K95" s="1">
        <f t="shared" si="33"/>
        <v>1</v>
      </c>
      <c r="L95" s="1">
        <f t="shared" si="33"/>
        <v>0</v>
      </c>
      <c r="M95" s="1">
        <f t="shared" si="33"/>
        <v>0</v>
      </c>
      <c r="N95" s="1">
        <f t="shared" si="33"/>
        <v>-1</v>
      </c>
      <c r="O95" s="1">
        <f t="shared" si="33"/>
        <v>0</v>
      </c>
      <c r="P95" s="1">
        <f t="shared" si="33"/>
        <v>0</v>
      </c>
      <c r="Q95" s="1">
        <f t="shared" si="33"/>
        <v>0</v>
      </c>
      <c r="R95" s="1">
        <f t="shared" si="33"/>
        <v>0</v>
      </c>
      <c r="S95" s="1">
        <f t="shared" si="33"/>
        <v>60</v>
      </c>
      <c r="T95" s="1"/>
    </row>
    <row r="96" spans="2:21" x14ac:dyDescent="0.3">
      <c r="B96" s="18" t="s">
        <v>66</v>
      </c>
      <c r="C96" s="1">
        <f>C83-$G$83*C101</f>
        <v>0</v>
      </c>
      <c r="D96" s="1">
        <f t="shared" ref="D96:S96" si="34">D83-$G$83*D101</f>
        <v>0</v>
      </c>
      <c r="E96" s="1">
        <f t="shared" si="34"/>
        <v>0</v>
      </c>
      <c r="F96" s="14">
        <f t="shared" si="34"/>
        <v>-0.5</v>
      </c>
      <c r="G96" s="1">
        <f t="shared" si="34"/>
        <v>0</v>
      </c>
      <c r="H96" s="1">
        <f t="shared" si="34"/>
        <v>0.5</v>
      </c>
      <c r="I96" s="1">
        <f t="shared" si="34"/>
        <v>0</v>
      </c>
      <c r="J96" s="1">
        <f t="shared" si="34"/>
        <v>0</v>
      </c>
      <c r="K96" s="1">
        <f t="shared" si="34"/>
        <v>0</v>
      </c>
      <c r="L96" s="1">
        <f t="shared" si="34"/>
        <v>1</v>
      </c>
      <c r="M96" s="1">
        <f t="shared" si="34"/>
        <v>0</v>
      </c>
      <c r="N96" s="1">
        <f t="shared" si="34"/>
        <v>-0.5</v>
      </c>
      <c r="O96" s="1">
        <f t="shared" si="34"/>
        <v>-1</v>
      </c>
      <c r="P96" s="1">
        <f t="shared" si="34"/>
        <v>0</v>
      </c>
      <c r="Q96" s="1">
        <f t="shared" si="34"/>
        <v>2.5000000000000001E-2</v>
      </c>
      <c r="R96" s="1">
        <f t="shared" si="34"/>
        <v>0</v>
      </c>
      <c r="S96" s="1">
        <f t="shared" si="34"/>
        <v>160</v>
      </c>
      <c r="T96" s="1"/>
    </row>
    <row r="97" spans="1:21" x14ac:dyDescent="0.3">
      <c r="A97" s="29" t="s">
        <v>110</v>
      </c>
      <c r="B97" s="13" t="s">
        <v>25</v>
      </c>
      <c r="C97" s="14">
        <f>C84-$G$84*C101</f>
        <v>0</v>
      </c>
      <c r="D97" s="14">
        <f t="shared" ref="D97:S97" si="35">D84-$G$84*D101</f>
        <v>0</v>
      </c>
      <c r="E97" s="14">
        <f t="shared" si="35"/>
        <v>0</v>
      </c>
      <c r="F97" s="14">
        <f t="shared" si="35"/>
        <v>-0.5</v>
      </c>
      <c r="G97" s="14">
        <f t="shared" si="35"/>
        <v>0</v>
      </c>
      <c r="H97" s="14">
        <f t="shared" si="35"/>
        <v>0.5</v>
      </c>
      <c r="I97" s="14">
        <f t="shared" si="35"/>
        <v>0</v>
      </c>
      <c r="J97" s="14">
        <f t="shared" si="35"/>
        <v>0</v>
      </c>
      <c r="K97" s="14">
        <f t="shared" si="35"/>
        <v>-1</v>
      </c>
      <c r="L97" s="14">
        <f t="shared" si="35"/>
        <v>0</v>
      </c>
      <c r="M97" s="14">
        <f t="shared" si="35"/>
        <v>1</v>
      </c>
      <c r="N97" s="14">
        <f t="shared" si="35"/>
        <v>0.5</v>
      </c>
      <c r="O97" s="14">
        <f t="shared" si="35"/>
        <v>0</v>
      </c>
      <c r="P97" s="14">
        <f t="shared" si="35"/>
        <v>0</v>
      </c>
      <c r="Q97" s="14">
        <f t="shared" si="35"/>
        <v>2.5000000000000001E-2</v>
      </c>
      <c r="R97" s="14">
        <f t="shared" si="35"/>
        <v>0</v>
      </c>
      <c r="S97" s="14">
        <f t="shared" si="35"/>
        <v>50</v>
      </c>
      <c r="T97" s="1"/>
    </row>
    <row r="98" spans="1:21" x14ac:dyDescent="0.3">
      <c r="B98" s="18" t="s">
        <v>94</v>
      </c>
      <c r="C98" s="1">
        <f>C85-$G$85*C101</f>
        <v>0</v>
      </c>
      <c r="D98" s="1">
        <f t="shared" ref="D98:S98" si="36">D85-$G$85*D101</f>
        <v>0</v>
      </c>
      <c r="E98" s="1">
        <f t="shared" si="36"/>
        <v>1</v>
      </c>
      <c r="F98" s="14">
        <f t="shared" si="36"/>
        <v>0</v>
      </c>
      <c r="G98" s="1">
        <f t="shared" si="36"/>
        <v>0</v>
      </c>
      <c r="H98" s="1">
        <f t="shared" si="36"/>
        <v>1</v>
      </c>
      <c r="I98" s="1">
        <f t="shared" si="36"/>
        <v>0</v>
      </c>
      <c r="J98" s="1">
        <f t="shared" si="36"/>
        <v>0</v>
      </c>
      <c r="K98" s="1">
        <f t="shared" si="36"/>
        <v>0</v>
      </c>
      <c r="L98" s="1">
        <f t="shared" si="36"/>
        <v>0</v>
      </c>
      <c r="M98" s="1">
        <f t="shared" si="36"/>
        <v>0</v>
      </c>
      <c r="N98" s="1">
        <f t="shared" si="36"/>
        <v>1</v>
      </c>
      <c r="O98" s="1">
        <f t="shared" si="36"/>
        <v>0</v>
      </c>
      <c r="P98" s="1">
        <f t="shared" si="36"/>
        <v>0</v>
      </c>
      <c r="Q98" s="1">
        <f t="shared" si="36"/>
        <v>0</v>
      </c>
      <c r="R98" s="1">
        <f t="shared" si="36"/>
        <v>0</v>
      </c>
      <c r="S98" s="1">
        <f t="shared" si="36"/>
        <v>80</v>
      </c>
      <c r="T98" s="1"/>
    </row>
    <row r="99" spans="1:21" x14ac:dyDescent="0.3">
      <c r="B99" s="18" t="s">
        <v>98</v>
      </c>
      <c r="C99" s="1">
        <f>C86-$G$86*C101</f>
        <v>0</v>
      </c>
      <c r="D99" s="1">
        <f t="shared" ref="D99:S99" si="37">D86-$G$86*D101</f>
        <v>0</v>
      </c>
      <c r="E99" s="1">
        <f t="shared" si="37"/>
        <v>0</v>
      </c>
      <c r="F99" s="14">
        <f t="shared" si="37"/>
        <v>1</v>
      </c>
      <c r="G99" s="1">
        <f t="shared" si="37"/>
        <v>0</v>
      </c>
      <c r="H99" s="1">
        <f t="shared" si="37"/>
        <v>0</v>
      </c>
      <c r="I99" s="1">
        <f t="shared" si="37"/>
        <v>1</v>
      </c>
      <c r="J99" s="1">
        <f t="shared" si="37"/>
        <v>0</v>
      </c>
      <c r="K99" s="1">
        <f t="shared" si="37"/>
        <v>0</v>
      </c>
      <c r="L99" s="1">
        <f t="shared" si="37"/>
        <v>0</v>
      </c>
      <c r="M99" s="1">
        <f t="shared" si="37"/>
        <v>0</v>
      </c>
      <c r="N99" s="1">
        <f t="shared" si="37"/>
        <v>0</v>
      </c>
      <c r="O99" s="1">
        <f t="shared" si="37"/>
        <v>1</v>
      </c>
      <c r="P99" s="1">
        <f t="shared" si="37"/>
        <v>0</v>
      </c>
      <c r="Q99" s="1">
        <f t="shared" si="37"/>
        <v>0</v>
      </c>
      <c r="R99" s="1">
        <f t="shared" si="37"/>
        <v>0</v>
      </c>
      <c r="S99" s="1">
        <f t="shared" si="37"/>
        <v>120</v>
      </c>
      <c r="T99" s="1"/>
    </row>
    <row r="100" spans="1:21" x14ac:dyDescent="0.3">
      <c r="B100" s="18" t="s">
        <v>100</v>
      </c>
      <c r="C100" s="1">
        <f>C87-G874*C101</f>
        <v>0</v>
      </c>
      <c r="D100" s="1">
        <f t="shared" ref="D100:S100" si="38">D87-H874*D101</f>
        <v>0</v>
      </c>
      <c r="E100" s="1">
        <f t="shared" si="38"/>
        <v>0</v>
      </c>
      <c r="F100" s="14">
        <f t="shared" si="38"/>
        <v>-4</v>
      </c>
      <c r="G100" s="1">
        <f t="shared" si="38"/>
        <v>-1</v>
      </c>
      <c r="H100" s="1">
        <f t="shared" si="38"/>
        <v>4</v>
      </c>
      <c r="I100" s="1">
        <f t="shared" si="38"/>
        <v>0</v>
      </c>
      <c r="J100" s="1">
        <f t="shared" si="38"/>
        <v>0</v>
      </c>
      <c r="K100" s="1">
        <f t="shared" si="38"/>
        <v>-4</v>
      </c>
      <c r="L100" s="1">
        <f t="shared" si="38"/>
        <v>0</v>
      </c>
      <c r="M100" s="1">
        <f t="shared" si="38"/>
        <v>0</v>
      </c>
      <c r="N100" s="1">
        <f t="shared" si="38"/>
        <v>4</v>
      </c>
      <c r="O100" s="1">
        <f t="shared" si="38"/>
        <v>0</v>
      </c>
      <c r="P100" s="1">
        <f t="shared" si="38"/>
        <v>1</v>
      </c>
      <c r="Q100" s="1">
        <f t="shared" si="38"/>
        <v>0</v>
      </c>
      <c r="R100" s="1">
        <f t="shared" si="38"/>
        <v>0</v>
      </c>
      <c r="S100" s="1">
        <f t="shared" si="38"/>
        <v>-240</v>
      </c>
      <c r="T100" s="1"/>
    </row>
    <row r="101" spans="1:21" x14ac:dyDescent="0.3">
      <c r="B101" s="18" t="s">
        <v>96</v>
      </c>
      <c r="C101" s="22">
        <f>C88/$G$88</f>
        <v>0</v>
      </c>
      <c r="D101" s="22">
        <f t="shared" ref="D101:S101" si="39">D88/$G$88</f>
        <v>0</v>
      </c>
      <c r="E101" s="22">
        <f t="shared" si="39"/>
        <v>0</v>
      </c>
      <c r="F101" s="23">
        <f t="shared" si="39"/>
        <v>-0.5</v>
      </c>
      <c r="G101" s="22">
        <f t="shared" si="39"/>
        <v>1</v>
      </c>
      <c r="H101" s="22">
        <f t="shared" si="39"/>
        <v>0.5</v>
      </c>
      <c r="I101" s="22">
        <f t="shared" si="39"/>
        <v>0</v>
      </c>
      <c r="J101" s="22">
        <f t="shared" si="39"/>
        <v>0</v>
      </c>
      <c r="K101" s="22">
        <f t="shared" si="39"/>
        <v>0</v>
      </c>
      <c r="L101" s="22">
        <f t="shared" si="39"/>
        <v>0</v>
      </c>
      <c r="M101" s="22">
        <f t="shared" si="39"/>
        <v>0</v>
      </c>
      <c r="N101" s="22">
        <f t="shared" si="39"/>
        <v>0.5</v>
      </c>
      <c r="O101" s="22">
        <f t="shared" si="39"/>
        <v>0</v>
      </c>
      <c r="P101" s="22">
        <f t="shared" si="39"/>
        <v>0</v>
      </c>
      <c r="Q101" s="22">
        <f t="shared" si="39"/>
        <v>-2.5000000000000001E-2</v>
      </c>
      <c r="R101" s="22">
        <f t="shared" si="39"/>
        <v>0</v>
      </c>
      <c r="S101" s="22">
        <f t="shared" si="39"/>
        <v>40</v>
      </c>
      <c r="T101" s="1"/>
    </row>
    <row r="102" spans="1:21" x14ac:dyDescent="0.3">
      <c r="B102" s="18" t="s">
        <v>102</v>
      </c>
      <c r="C102" s="1">
        <f>C89-$G$89*C101</f>
        <v>0</v>
      </c>
      <c r="D102" s="1">
        <f t="shared" ref="D102:S102" si="40">D89-$G$89*D101</f>
        <v>0</v>
      </c>
      <c r="E102" s="1">
        <f t="shared" si="40"/>
        <v>0</v>
      </c>
      <c r="F102" s="14">
        <f t="shared" si="40"/>
        <v>-1</v>
      </c>
      <c r="G102" s="1">
        <f t="shared" si="40"/>
        <v>0</v>
      </c>
      <c r="H102" s="1">
        <f t="shared" si="40"/>
        <v>-1</v>
      </c>
      <c r="I102" s="1">
        <f t="shared" si="40"/>
        <v>0</v>
      </c>
      <c r="J102" s="1">
        <f t="shared" si="40"/>
        <v>-1</v>
      </c>
      <c r="K102" s="1">
        <f t="shared" si="40"/>
        <v>0</v>
      </c>
      <c r="L102" s="1">
        <f t="shared" si="40"/>
        <v>0</v>
      </c>
      <c r="M102" s="1">
        <f t="shared" si="40"/>
        <v>0</v>
      </c>
      <c r="N102" s="1">
        <f t="shared" si="40"/>
        <v>-1</v>
      </c>
      <c r="O102" s="1">
        <f t="shared" si="40"/>
        <v>0</v>
      </c>
      <c r="P102" s="1">
        <f t="shared" si="40"/>
        <v>0</v>
      </c>
      <c r="Q102" s="1">
        <f t="shared" si="40"/>
        <v>0</v>
      </c>
      <c r="R102" s="1">
        <f t="shared" si="40"/>
        <v>1</v>
      </c>
      <c r="S102" s="1">
        <f t="shared" si="40"/>
        <v>-80</v>
      </c>
      <c r="T102" s="1"/>
    </row>
    <row r="105" spans="1:21" x14ac:dyDescent="0.3">
      <c r="B105" s="2" t="s">
        <v>111</v>
      </c>
      <c r="C105" s="1"/>
      <c r="D105" s="1"/>
      <c r="E105" s="1"/>
      <c r="F105" s="1"/>
      <c r="G105" s="1"/>
      <c r="H105" s="1"/>
      <c r="I105" s="1"/>
      <c r="J105" s="1"/>
      <c r="K105" s="1" t="s">
        <v>34</v>
      </c>
      <c r="L105" s="1"/>
      <c r="M105" s="1"/>
      <c r="N105" s="1"/>
      <c r="O105" s="1"/>
      <c r="P105" s="1"/>
      <c r="Q105" s="1"/>
      <c r="R105" s="1"/>
      <c r="S105" s="1"/>
    </row>
    <row r="106" spans="1:21" x14ac:dyDescent="0.3">
      <c r="B106" s="16" t="s">
        <v>23</v>
      </c>
      <c r="C106" s="17" t="s">
        <v>24</v>
      </c>
      <c r="D106" s="17" t="s">
        <v>93</v>
      </c>
      <c r="E106" s="17" t="s">
        <v>94</v>
      </c>
      <c r="F106" s="17" t="s">
        <v>95</v>
      </c>
      <c r="G106" s="17" t="s">
        <v>96</v>
      </c>
      <c r="H106" s="17" t="s">
        <v>97</v>
      </c>
      <c r="I106" s="17" t="s">
        <v>98</v>
      </c>
      <c r="J106" s="17" t="s">
        <v>64</v>
      </c>
      <c r="K106" s="20" t="s">
        <v>65</v>
      </c>
      <c r="L106" s="17" t="s">
        <v>66</v>
      </c>
      <c r="M106" s="17" t="s">
        <v>25</v>
      </c>
      <c r="N106" s="17" t="s">
        <v>26</v>
      </c>
      <c r="O106" s="17" t="s">
        <v>27</v>
      </c>
      <c r="P106" s="17" t="s">
        <v>100</v>
      </c>
      <c r="Q106" s="17" t="s">
        <v>101</v>
      </c>
      <c r="R106" s="17" t="s">
        <v>102</v>
      </c>
      <c r="S106" s="17" t="s">
        <v>28</v>
      </c>
      <c r="T106" s="17" t="s">
        <v>103</v>
      </c>
    </row>
    <row r="107" spans="1:21" x14ac:dyDescent="0.3">
      <c r="B107" s="27" t="s">
        <v>24</v>
      </c>
      <c r="C107" s="1">
        <f>C94-$F$94*C110</f>
        <v>1</v>
      </c>
      <c r="D107" s="1">
        <f t="shared" ref="D107:S107" si="41">D94-$F$94*D110</f>
        <v>0</v>
      </c>
      <c r="E107" s="1">
        <f t="shared" si="41"/>
        <v>0</v>
      </c>
      <c r="F107" s="1">
        <f t="shared" si="41"/>
        <v>0</v>
      </c>
      <c r="G107" s="1">
        <f t="shared" si="41"/>
        <v>0</v>
      </c>
      <c r="H107" s="1">
        <f t="shared" si="41"/>
        <v>-2020</v>
      </c>
      <c r="I107" s="1">
        <f t="shared" si="41"/>
        <v>0</v>
      </c>
      <c r="J107" s="1">
        <f t="shared" si="41"/>
        <v>-1000</v>
      </c>
      <c r="K107" s="14">
        <f t="shared" si="41"/>
        <v>2020</v>
      </c>
      <c r="L107" s="1">
        <f t="shared" si="41"/>
        <v>0</v>
      </c>
      <c r="M107" s="1">
        <f t="shared" si="41"/>
        <v>-3000</v>
      </c>
      <c r="N107" s="1">
        <f t="shared" si="41"/>
        <v>-2980</v>
      </c>
      <c r="O107" s="1">
        <f t="shared" si="41"/>
        <v>-980</v>
      </c>
      <c r="P107" s="1">
        <f t="shared" si="41"/>
        <v>0</v>
      </c>
      <c r="Q107" s="1">
        <f t="shared" si="41"/>
        <v>-51</v>
      </c>
      <c r="R107" s="1">
        <f t="shared" si="41"/>
        <v>0</v>
      </c>
      <c r="S107" s="1">
        <f t="shared" si="41"/>
        <v>-173200</v>
      </c>
      <c r="T107" t="s">
        <v>35</v>
      </c>
    </row>
    <row r="108" spans="1:21" x14ac:dyDescent="0.3">
      <c r="B108" s="27" t="s">
        <v>93</v>
      </c>
      <c r="C108" s="1">
        <f>C95-$F$95*C110</f>
        <v>0</v>
      </c>
      <c r="D108" s="1">
        <f t="shared" ref="D108:S108" si="42">D95-$F$95*D110</f>
        <v>1</v>
      </c>
      <c r="E108" s="1">
        <f t="shared" si="42"/>
        <v>0</v>
      </c>
      <c r="F108" s="1">
        <f t="shared" si="42"/>
        <v>0</v>
      </c>
      <c r="G108" s="1">
        <f t="shared" si="42"/>
        <v>0</v>
      </c>
      <c r="H108" s="1">
        <f t="shared" si="42"/>
        <v>0</v>
      </c>
      <c r="I108" s="1">
        <f t="shared" si="42"/>
        <v>0</v>
      </c>
      <c r="J108" s="1">
        <f t="shared" si="42"/>
        <v>0</v>
      </c>
      <c r="K108" s="14">
        <f t="shared" si="42"/>
        <v>-1</v>
      </c>
      <c r="L108" s="1">
        <f t="shared" si="42"/>
        <v>0</v>
      </c>
      <c r="M108" s="1">
        <f t="shared" si="42"/>
        <v>2</v>
      </c>
      <c r="N108" s="1">
        <f t="shared" si="42"/>
        <v>0</v>
      </c>
      <c r="O108" s="1">
        <f t="shared" si="42"/>
        <v>0</v>
      </c>
      <c r="P108" s="1">
        <f t="shared" si="42"/>
        <v>0</v>
      </c>
      <c r="Q108" s="1">
        <f t="shared" si="42"/>
        <v>0.05</v>
      </c>
      <c r="R108" s="1">
        <f t="shared" si="42"/>
        <v>0</v>
      </c>
      <c r="S108" s="1">
        <f t="shared" si="42"/>
        <v>160</v>
      </c>
      <c r="T108">
        <f>S108/K108</f>
        <v>-160</v>
      </c>
    </row>
    <row r="109" spans="1:21" x14ac:dyDescent="0.3">
      <c r="A109" s="6" t="s">
        <v>37</v>
      </c>
      <c r="B109" s="34" t="s">
        <v>66</v>
      </c>
      <c r="C109" s="14">
        <f>C96-$F$96*C110</f>
        <v>0</v>
      </c>
      <c r="D109" s="14">
        <f t="shared" ref="D109:S109" si="43">D96-$F$96*D110</f>
        <v>0</v>
      </c>
      <c r="E109" s="14">
        <f t="shared" si="43"/>
        <v>0</v>
      </c>
      <c r="F109" s="14">
        <f t="shared" si="43"/>
        <v>0</v>
      </c>
      <c r="G109" s="14">
        <f t="shared" si="43"/>
        <v>0</v>
      </c>
      <c r="H109" s="14">
        <f t="shared" si="43"/>
        <v>0</v>
      </c>
      <c r="I109" s="14">
        <f t="shared" si="43"/>
        <v>0</v>
      </c>
      <c r="J109" s="14">
        <f t="shared" si="43"/>
        <v>0</v>
      </c>
      <c r="K109" s="14">
        <f t="shared" si="43"/>
        <v>1</v>
      </c>
      <c r="L109" s="14">
        <f t="shared" si="43"/>
        <v>1</v>
      </c>
      <c r="M109" s="14">
        <f t="shared" si="43"/>
        <v>-1</v>
      </c>
      <c r="N109" s="14">
        <f t="shared" si="43"/>
        <v>-1</v>
      </c>
      <c r="O109" s="14">
        <f t="shared" si="43"/>
        <v>-1</v>
      </c>
      <c r="P109" s="14">
        <f t="shared" si="43"/>
        <v>0</v>
      </c>
      <c r="Q109" s="14">
        <f t="shared" si="43"/>
        <v>0</v>
      </c>
      <c r="R109" s="14">
        <f t="shared" si="43"/>
        <v>0</v>
      </c>
      <c r="S109" s="14">
        <f t="shared" si="43"/>
        <v>110</v>
      </c>
      <c r="T109" s="21">
        <f t="shared" ref="T109:T115" si="44">S109/K109</f>
        <v>110</v>
      </c>
      <c r="U109" t="s">
        <v>36</v>
      </c>
    </row>
    <row r="110" spans="1:21" x14ac:dyDescent="0.3">
      <c r="B110" s="27" t="s">
        <v>95</v>
      </c>
      <c r="C110" s="22">
        <f>C97/$F$97</f>
        <v>0</v>
      </c>
      <c r="D110" s="22">
        <f t="shared" ref="D110:S110" si="45">D97/$F$97</f>
        <v>0</v>
      </c>
      <c r="E110" s="22">
        <f t="shared" si="45"/>
        <v>0</v>
      </c>
      <c r="F110" s="22">
        <f t="shared" si="45"/>
        <v>1</v>
      </c>
      <c r="G110" s="22">
        <f t="shared" si="45"/>
        <v>0</v>
      </c>
      <c r="H110" s="22">
        <f t="shared" si="45"/>
        <v>-1</v>
      </c>
      <c r="I110" s="22">
        <f t="shared" si="45"/>
        <v>0</v>
      </c>
      <c r="J110" s="22">
        <f t="shared" si="45"/>
        <v>0</v>
      </c>
      <c r="K110" s="23">
        <f t="shared" si="45"/>
        <v>2</v>
      </c>
      <c r="L110" s="22">
        <f t="shared" si="45"/>
        <v>0</v>
      </c>
      <c r="M110" s="22">
        <f t="shared" si="45"/>
        <v>-2</v>
      </c>
      <c r="N110" s="22">
        <f t="shared" si="45"/>
        <v>-1</v>
      </c>
      <c r="O110" s="22">
        <f t="shared" si="45"/>
        <v>0</v>
      </c>
      <c r="P110" s="22">
        <f t="shared" si="45"/>
        <v>0</v>
      </c>
      <c r="Q110" s="22">
        <f t="shared" si="45"/>
        <v>-0.05</v>
      </c>
      <c r="R110" s="22">
        <f t="shared" si="45"/>
        <v>0</v>
      </c>
      <c r="S110" s="22">
        <f t="shared" si="45"/>
        <v>-100</v>
      </c>
      <c r="T110">
        <f t="shared" si="44"/>
        <v>-50</v>
      </c>
    </row>
    <row r="111" spans="1:21" x14ac:dyDescent="0.3">
      <c r="B111" s="27" t="s">
        <v>94</v>
      </c>
      <c r="C111" s="1">
        <f>C98-$F$98*C110</f>
        <v>0</v>
      </c>
      <c r="D111" s="1">
        <f t="shared" ref="D111:S111" si="46">D98-$F$98*D110</f>
        <v>0</v>
      </c>
      <c r="E111" s="1">
        <f t="shared" si="46"/>
        <v>1</v>
      </c>
      <c r="F111" s="1">
        <f t="shared" si="46"/>
        <v>0</v>
      </c>
      <c r="G111" s="1">
        <f t="shared" si="46"/>
        <v>0</v>
      </c>
      <c r="H111" s="1">
        <f t="shared" si="46"/>
        <v>1</v>
      </c>
      <c r="I111" s="1">
        <f t="shared" si="46"/>
        <v>0</v>
      </c>
      <c r="J111" s="1">
        <f t="shared" si="46"/>
        <v>0</v>
      </c>
      <c r="K111" s="14">
        <f t="shared" si="46"/>
        <v>0</v>
      </c>
      <c r="L111" s="1">
        <f t="shared" si="46"/>
        <v>0</v>
      </c>
      <c r="M111" s="1">
        <f t="shared" si="46"/>
        <v>0</v>
      </c>
      <c r="N111" s="1">
        <f t="shared" si="46"/>
        <v>1</v>
      </c>
      <c r="O111" s="1">
        <f t="shared" si="46"/>
        <v>0</v>
      </c>
      <c r="P111" s="1">
        <f t="shared" si="46"/>
        <v>0</v>
      </c>
      <c r="Q111" s="1">
        <f t="shared" si="46"/>
        <v>0</v>
      </c>
      <c r="R111" s="1">
        <f t="shared" si="46"/>
        <v>0</v>
      </c>
      <c r="S111" s="1">
        <f t="shared" si="46"/>
        <v>80</v>
      </c>
      <c r="T111" t="e">
        <f t="shared" si="44"/>
        <v>#DIV/0!</v>
      </c>
    </row>
    <row r="112" spans="1:21" x14ac:dyDescent="0.3">
      <c r="B112" s="27" t="s">
        <v>98</v>
      </c>
      <c r="C112" s="1">
        <f>C99-$F$99*C110</f>
        <v>0</v>
      </c>
      <c r="D112" s="1">
        <f t="shared" ref="D112:S112" si="47">D99-$F$99*D110</f>
        <v>0</v>
      </c>
      <c r="E112" s="1">
        <f t="shared" si="47"/>
        <v>0</v>
      </c>
      <c r="F112" s="1">
        <f t="shared" si="47"/>
        <v>0</v>
      </c>
      <c r="G112" s="1">
        <f t="shared" si="47"/>
        <v>0</v>
      </c>
      <c r="H112" s="1">
        <f t="shared" si="47"/>
        <v>1</v>
      </c>
      <c r="I112" s="1">
        <f t="shared" si="47"/>
        <v>1</v>
      </c>
      <c r="J112" s="1">
        <f t="shared" si="47"/>
        <v>0</v>
      </c>
      <c r="K112" s="14">
        <f t="shared" si="47"/>
        <v>-2</v>
      </c>
      <c r="L112" s="1">
        <f t="shared" si="47"/>
        <v>0</v>
      </c>
      <c r="M112" s="1">
        <f t="shared" si="47"/>
        <v>2</v>
      </c>
      <c r="N112" s="1">
        <f t="shared" si="47"/>
        <v>1</v>
      </c>
      <c r="O112" s="1">
        <f t="shared" si="47"/>
        <v>1</v>
      </c>
      <c r="P112" s="1">
        <f t="shared" si="47"/>
        <v>0</v>
      </c>
      <c r="Q112" s="1">
        <f t="shared" si="47"/>
        <v>0.05</v>
      </c>
      <c r="R112" s="1">
        <f t="shared" si="47"/>
        <v>0</v>
      </c>
      <c r="S112" s="1">
        <f t="shared" si="47"/>
        <v>220</v>
      </c>
      <c r="T112">
        <f t="shared" si="44"/>
        <v>-110</v>
      </c>
    </row>
    <row r="113" spans="2:20" x14ac:dyDescent="0.3">
      <c r="B113" s="27" t="s">
        <v>100</v>
      </c>
      <c r="C113" s="1">
        <f>C100-$F$100*C110</f>
        <v>0</v>
      </c>
      <c r="D113" s="1">
        <f t="shared" ref="D113:S113" si="48">D100-$F$100*D110</f>
        <v>0</v>
      </c>
      <c r="E113" s="1">
        <f t="shared" si="48"/>
        <v>0</v>
      </c>
      <c r="F113" s="1">
        <f t="shared" si="48"/>
        <v>0</v>
      </c>
      <c r="G113" s="1">
        <f t="shared" si="48"/>
        <v>-1</v>
      </c>
      <c r="H113" s="1">
        <f t="shared" si="48"/>
        <v>0</v>
      </c>
      <c r="I113" s="1">
        <f t="shared" si="48"/>
        <v>0</v>
      </c>
      <c r="J113" s="1">
        <f t="shared" si="48"/>
        <v>0</v>
      </c>
      <c r="K113" s="14">
        <f t="shared" si="48"/>
        <v>4</v>
      </c>
      <c r="L113" s="1">
        <f t="shared" si="48"/>
        <v>0</v>
      </c>
      <c r="M113" s="1">
        <f t="shared" si="48"/>
        <v>-8</v>
      </c>
      <c r="N113" s="1">
        <f t="shared" si="48"/>
        <v>0</v>
      </c>
      <c r="O113" s="1">
        <f t="shared" si="48"/>
        <v>0</v>
      </c>
      <c r="P113" s="1">
        <f t="shared" si="48"/>
        <v>1</v>
      </c>
      <c r="Q113" s="1">
        <f t="shared" si="48"/>
        <v>-0.2</v>
      </c>
      <c r="R113" s="1">
        <f t="shared" si="48"/>
        <v>0</v>
      </c>
      <c r="S113" s="1">
        <f t="shared" si="48"/>
        <v>-640</v>
      </c>
      <c r="T113">
        <f t="shared" si="44"/>
        <v>-160</v>
      </c>
    </row>
    <row r="114" spans="2:20" x14ac:dyDescent="0.3">
      <c r="B114" s="27" t="s">
        <v>96</v>
      </c>
      <c r="C114" s="1">
        <f>C101-$F$101*C110</f>
        <v>0</v>
      </c>
      <c r="D114" s="1">
        <f t="shared" ref="D114:S114" si="49">D101-$F$101*D110</f>
        <v>0</v>
      </c>
      <c r="E114" s="1">
        <f t="shared" si="49"/>
        <v>0</v>
      </c>
      <c r="F114" s="1">
        <f t="shared" si="49"/>
        <v>0</v>
      </c>
      <c r="G114" s="1">
        <f t="shared" si="49"/>
        <v>1</v>
      </c>
      <c r="H114" s="1">
        <f t="shared" si="49"/>
        <v>0</v>
      </c>
      <c r="I114" s="1">
        <f t="shared" si="49"/>
        <v>0</v>
      </c>
      <c r="J114" s="1">
        <f t="shared" si="49"/>
        <v>0</v>
      </c>
      <c r="K114" s="14">
        <f t="shared" si="49"/>
        <v>1</v>
      </c>
      <c r="L114" s="1">
        <f t="shared" si="49"/>
        <v>0</v>
      </c>
      <c r="M114" s="1">
        <f t="shared" si="49"/>
        <v>-1</v>
      </c>
      <c r="N114" s="1">
        <f t="shared" si="49"/>
        <v>0</v>
      </c>
      <c r="O114" s="1">
        <f t="shared" si="49"/>
        <v>0</v>
      </c>
      <c r="P114" s="1">
        <f t="shared" si="49"/>
        <v>0</v>
      </c>
      <c r="Q114" s="1">
        <f t="shared" si="49"/>
        <v>-0.05</v>
      </c>
      <c r="R114" s="1">
        <f t="shared" si="49"/>
        <v>0</v>
      </c>
      <c r="S114" s="1">
        <f t="shared" si="49"/>
        <v>-10</v>
      </c>
      <c r="T114">
        <f t="shared" si="44"/>
        <v>-10</v>
      </c>
    </row>
    <row r="115" spans="2:20" x14ac:dyDescent="0.3">
      <c r="B115" s="27" t="s">
        <v>102</v>
      </c>
      <c r="C115" s="1">
        <f>C102-$F$102*C110</f>
        <v>0</v>
      </c>
      <c r="D115" s="1">
        <f t="shared" ref="D115:S115" si="50">D102-$F$102*D110</f>
        <v>0</v>
      </c>
      <c r="E115" s="1">
        <f t="shared" si="50"/>
        <v>0</v>
      </c>
      <c r="F115" s="1">
        <f t="shared" si="50"/>
        <v>0</v>
      </c>
      <c r="G115" s="1">
        <f t="shared" si="50"/>
        <v>0</v>
      </c>
      <c r="H115" s="1">
        <f t="shared" si="50"/>
        <v>-2</v>
      </c>
      <c r="I115" s="1">
        <f t="shared" si="50"/>
        <v>0</v>
      </c>
      <c r="J115" s="1">
        <f t="shared" si="50"/>
        <v>-1</v>
      </c>
      <c r="K115" s="14">
        <f t="shared" si="50"/>
        <v>2</v>
      </c>
      <c r="L115" s="1">
        <f t="shared" si="50"/>
        <v>0</v>
      </c>
      <c r="M115" s="1">
        <f t="shared" si="50"/>
        <v>-2</v>
      </c>
      <c r="N115" s="1">
        <f t="shared" si="50"/>
        <v>-2</v>
      </c>
      <c r="O115" s="1">
        <f t="shared" si="50"/>
        <v>0</v>
      </c>
      <c r="P115" s="1">
        <f t="shared" si="50"/>
        <v>0</v>
      </c>
      <c r="Q115" s="1">
        <f t="shared" si="50"/>
        <v>-0.05</v>
      </c>
      <c r="R115" s="1">
        <f t="shared" si="50"/>
        <v>1</v>
      </c>
      <c r="S115" s="1">
        <f t="shared" si="50"/>
        <v>-180</v>
      </c>
      <c r="T115">
        <f t="shared" si="44"/>
        <v>-90</v>
      </c>
    </row>
    <row r="119" spans="2:20" x14ac:dyDescent="0.3">
      <c r="B119" s="1" t="s">
        <v>111</v>
      </c>
      <c r="C119" s="1"/>
      <c r="D119" s="1"/>
      <c r="E119" s="1"/>
      <c r="F119" s="1"/>
      <c r="G119" s="1"/>
      <c r="H119" s="1"/>
      <c r="I119" s="1"/>
      <c r="J119" s="1"/>
      <c r="K119" s="1" t="s">
        <v>34</v>
      </c>
      <c r="L119" s="1"/>
      <c r="M119" s="1"/>
      <c r="N119" s="1"/>
      <c r="O119" s="1"/>
      <c r="P119" s="1"/>
      <c r="Q119" s="1"/>
      <c r="R119" s="1"/>
      <c r="S119" s="1"/>
      <c r="T119" s="1"/>
    </row>
    <row r="120" spans="2:20" x14ac:dyDescent="0.3">
      <c r="B120" s="1" t="s">
        <v>23</v>
      </c>
      <c r="C120" s="1" t="s">
        <v>24</v>
      </c>
      <c r="D120" s="1" t="s">
        <v>93</v>
      </c>
      <c r="E120" s="1" t="s">
        <v>94</v>
      </c>
      <c r="F120" s="1" t="s">
        <v>95</v>
      </c>
      <c r="G120" s="1" t="s">
        <v>96</v>
      </c>
      <c r="H120" s="1" t="s">
        <v>97</v>
      </c>
      <c r="I120" s="1" t="s">
        <v>98</v>
      </c>
      <c r="J120" s="1" t="s">
        <v>64</v>
      </c>
      <c r="K120" s="1" t="s">
        <v>65</v>
      </c>
      <c r="L120" s="1" t="s">
        <v>66</v>
      </c>
      <c r="M120" s="1" t="s">
        <v>25</v>
      </c>
      <c r="N120" s="1" t="s">
        <v>26</v>
      </c>
      <c r="O120" s="1" t="s">
        <v>27</v>
      </c>
      <c r="P120" s="1" t="s">
        <v>100</v>
      </c>
      <c r="Q120" s="1" t="s">
        <v>101</v>
      </c>
      <c r="R120" s="1" t="s">
        <v>102</v>
      </c>
      <c r="S120" s="1" t="s">
        <v>28</v>
      </c>
      <c r="T120" s="1" t="s">
        <v>103</v>
      </c>
    </row>
    <row r="121" spans="2:20" x14ac:dyDescent="0.3">
      <c r="B121" s="1" t="s">
        <v>24</v>
      </c>
      <c r="C121" s="1">
        <f>C107-$K$107*C123</f>
        <v>1</v>
      </c>
      <c r="D121" s="1">
        <f t="shared" ref="D121:S121" si="51">D107-$K$107*D123</f>
        <v>0</v>
      </c>
      <c r="E121" s="1">
        <f t="shared" si="51"/>
        <v>0</v>
      </c>
      <c r="F121" s="1">
        <f t="shared" si="51"/>
        <v>0</v>
      </c>
      <c r="G121" s="1">
        <f t="shared" si="51"/>
        <v>0</v>
      </c>
      <c r="H121" s="1">
        <f t="shared" si="51"/>
        <v>-2020</v>
      </c>
      <c r="I121" s="1">
        <f t="shared" si="51"/>
        <v>0</v>
      </c>
      <c r="J121" s="1">
        <f t="shared" si="51"/>
        <v>-1000</v>
      </c>
      <c r="K121" s="1">
        <f t="shared" si="51"/>
        <v>0</v>
      </c>
      <c r="L121" s="1">
        <f t="shared" si="51"/>
        <v>-2020</v>
      </c>
      <c r="M121" s="1">
        <f t="shared" si="51"/>
        <v>-980</v>
      </c>
      <c r="N121" s="1">
        <f t="shared" si="51"/>
        <v>-960</v>
      </c>
      <c r="O121" s="1">
        <f t="shared" si="51"/>
        <v>1040</v>
      </c>
      <c r="P121" s="1">
        <f t="shared" si="51"/>
        <v>0</v>
      </c>
      <c r="Q121" s="1">
        <f t="shared" si="51"/>
        <v>-51</v>
      </c>
      <c r="R121" s="1">
        <f t="shared" si="51"/>
        <v>0</v>
      </c>
      <c r="S121" s="1">
        <f t="shared" si="51"/>
        <v>-395400</v>
      </c>
      <c r="T121" s="1"/>
    </row>
    <row r="122" spans="2:20" x14ac:dyDescent="0.3">
      <c r="B122" s="1" t="s">
        <v>93</v>
      </c>
      <c r="C122" s="1">
        <f>C108-$K$108*C123</f>
        <v>0</v>
      </c>
      <c r="D122" s="1">
        <f t="shared" ref="D122:S122" si="52">D108-$K$108*D123</f>
        <v>1</v>
      </c>
      <c r="E122" s="1">
        <f t="shared" si="52"/>
        <v>0</v>
      </c>
      <c r="F122" s="1">
        <f t="shared" si="52"/>
        <v>0</v>
      </c>
      <c r="G122" s="1">
        <f t="shared" si="52"/>
        <v>0</v>
      </c>
      <c r="H122" s="1">
        <f t="shared" si="52"/>
        <v>0</v>
      </c>
      <c r="I122" s="1">
        <f t="shared" si="52"/>
        <v>0</v>
      </c>
      <c r="J122" s="1">
        <f t="shared" si="52"/>
        <v>0</v>
      </c>
      <c r="K122" s="1">
        <f t="shared" si="52"/>
        <v>0</v>
      </c>
      <c r="L122" s="1">
        <f t="shared" si="52"/>
        <v>1</v>
      </c>
      <c r="M122" s="1">
        <f t="shared" si="52"/>
        <v>1</v>
      </c>
      <c r="N122" s="1">
        <f t="shared" si="52"/>
        <v>-1</v>
      </c>
      <c r="O122" s="1">
        <f t="shared" si="52"/>
        <v>-1</v>
      </c>
      <c r="P122" s="1">
        <f t="shared" si="52"/>
        <v>0</v>
      </c>
      <c r="Q122" s="1">
        <f t="shared" si="52"/>
        <v>0.05</v>
      </c>
      <c r="R122" s="1">
        <f t="shared" si="52"/>
        <v>0</v>
      </c>
      <c r="S122" s="1">
        <f t="shared" si="52"/>
        <v>270</v>
      </c>
      <c r="T122" s="1"/>
    </row>
    <row r="123" spans="2:20" x14ac:dyDescent="0.3">
      <c r="B123" s="1" t="s">
        <v>65</v>
      </c>
      <c r="C123" s="22">
        <f>C109/$K$109</f>
        <v>0</v>
      </c>
      <c r="D123" s="22">
        <f t="shared" ref="D123:S123" si="53">D109/$K$109</f>
        <v>0</v>
      </c>
      <c r="E123" s="22">
        <f t="shared" si="53"/>
        <v>0</v>
      </c>
      <c r="F123" s="22">
        <f t="shared" si="53"/>
        <v>0</v>
      </c>
      <c r="G123" s="22">
        <f t="shared" si="53"/>
        <v>0</v>
      </c>
      <c r="H123" s="22">
        <f t="shared" si="53"/>
        <v>0</v>
      </c>
      <c r="I123" s="22">
        <f t="shared" si="53"/>
        <v>0</v>
      </c>
      <c r="J123" s="22">
        <f t="shared" si="53"/>
        <v>0</v>
      </c>
      <c r="K123" s="22">
        <f t="shared" si="53"/>
        <v>1</v>
      </c>
      <c r="L123" s="22">
        <f t="shared" si="53"/>
        <v>1</v>
      </c>
      <c r="M123" s="22">
        <f t="shared" si="53"/>
        <v>-1</v>
      </c>
      <c r="N123" s="22">
        <f t="shared" si="53"/>
        <v>-1</v>
      </c>
      <c r="O123" s="22">
        <f t="shared" si="53"/>
        <v>-1</v>
      </c>
      <c r="P123" s="22">
        <f t="shared" si="53"/>
        <v>0</v>
      </c>
      <c r="Q123" s="22">
        <f t="shared" si="53"/>
        <v>0</v>
      </c>
      <c r="R123" s="22">
        <f t="shared" si="53"/>
        <v>0</v>
      </c>
      <c r="S123" s="22">
        <f t="shared" si="53"/>
        <v>110</v>
      </c>
      <c r="T123" s="1"/>
    </row>
    <row r="124" spans="2:20" x14ac:dyDescent="0.3">
      <c r="B124" s="1" t="s">
        <v>95</v>
      </c>
      <c r="C124" s="1">
        <f>C110-$K$110*C123</f>
        <v>0</v>
      </c>
      <c r="D124" s="1">
        <f t="shared" ref="D124:S124" si="54">D110-$K$110*D123</f>
        <v>0</v>
      </c>
      <c r="E124" s="1">
        <f t="shared" si="54"/>
        <v>0</v>
      </c>
      <c r="F124" s="1">
        <f t="shared" si="54"/>
        <v>1</v>
      </c>
      <c r="G124" s="1">
        <f t="shared" si="54"/>
        <v>0</v>
      </c>
      <c r="H124" s="1">
        <f t="shared" si="54"/>
        <v>-1</v>
      </c>
      <c r="I124" s="1">
        <f t="shared" si="54"/>
        <v>0</v>
      </c>
      <c r="J124" s="1">
        <f t="shared" si="54"/>
        <v>0</v>
      </c>
      <c r="K124" s="1">
        <f t="shared" si="54"/>
        <v>0</v>
      </c>
      <c r="L124" s="1">
        <f t="shared" si="54"/>
        <v>-2</v>
      </c>
      <c r="M124" s="1">
        <f t="shared" si="54"/>
        <v>0</v>
      </c>
      <c r="N124" s="1">
        <f t="shared" si="54"/>
        <v>1</v>
      </c>
      <c r="O124" s="1">
        <f t="shared" si="54"/>
        <v>2</v>
      </c>
      <c r="P124" s="1">
        <f t="shared" si="54"/>
        <v>0</v>
      </c>
      <c r="Q124" s="1">
        <f t="shared" si="54"/>
        <v>-0.05</v>
      </c>
      <c r="R124" s="1">
        <f t="shared" si="54"/>
        <v>0</v>
      </c>
      <c r="S124" s="1">
        <f t="shared" si="54"/>
        <v>-320</v>
      </c>
      <c r="T124" s="1"/>
    </row>
    <row r="125" spans="2:20" x14ac:dyDescent="0.3">
      <c r="B125" s="1" t="s">
        <v>94</v>
      </c>
      <c r="C125" s="1">
        <f>C111-$K$111*C123</f>
        <v>0</v>
      </c>
      <c r="D125" s="1">
        <f t="shared" ref="D125:S125" si="55">D111-$K$111*D123</f>
        <v>0</v>
      </c>
      <c r="E125" s="1">
        <f t="shared" si="55"/>
        <v>1</v>
      </c>
      <c r="F125" s="1">
        <f t="shared" si="55"/>
        <v>0</v>
      </c>
      <c r="G125" s="1">
        <f t="shared" si="55"/>
        <v>0</v>
      </c>
      <c r="H125" s="1">
        <f t="shared" si="55"/>
        <v>1</v>
      </c>
      <c r="I125" s="1">
        <f t="shared" si="55"/>
        <v>0</v>
      </c>
      <c r="J125" s="1">
        <f t="shared" si="55"/>
        <v>0</v>
      </c>
      <c r="K125" s="1">
        <f t="shared" si="55"/>
        <v>0</v>
      </c>
      <c r="L125" s="1">
        <f t="shared" si="55"/>
        <v>0</v>
      </c>
      <c r="M125" s="1">
        <f t="shared" si="55"/>
        <v>0</v>
      </c>
      <c r="N125" s="1">
        <f t="shared" si="55"/>
        <v>1</v>
      </c>
      <c r="O125" s="1">
        <f t="shared" si="55"/>
        <v>0</v>
      </c>
      <c r="P125" s="1">
        <f t="shared" si="55"/>
        <v>0</v>
      </c>
      <c r="Q125" s="1">
        <f t="shared" si="55"/>
        <v>0</v>
      </c>
      <c r="R125" s="1">
        <f t="shared" si="55"/>
        <v>0</v>
      </c>
      <c r="S125" s="1">
        <f t="shared" si="55"/>
        <v>80</v>
      </c>
      <c r="T125" s="1"/>
    </row>
    <row r="126" spans="2:20" x14ac:dyDescent="0.3">
      <c r="B126" s="1" t="s">
        <v>98</v>
      </c>
      <c r="C126" s="1">
        <f>C112-$K$112*C123</f>
        <v>0</v>
      </c>
      <c r="D126" s="1">
        <f t="shared" ref="D126:S126" si="56">D112-$K$112*D123</f>
        <v>0</v>
      </c>
      <c r="E126" s="1">
        <f t="shared" si="56"/>
        <v>0</v>
      </c>
      <c r="F126" s="1">
        <f t="shared" si="56"/>
        <v>0</v>
      </c>
      <c r="G126" s="1">
        <f t="shared" si="56"/>
        <v>0</v>
      </c>
      <c r="H126" s="1">
        <f t="shared" si="56"/>
        <v>1</v>
      </c>
      <c r="I126" s="1">
        <f t="shared" si="56"/>
        <v>1</v>
      </c>
      <c r="J126" s="1">
        <f t="shared" si="56"/>
        <v>0</v>
      </c>
      <c r="K126" s="1">
        <f t="shared" si="56"/>
        <v>0</v>
      </c>
      <c r="L126" s="1">
        <f t="shared" si="56"/>
        <v>2</v>
      </c>
      <c r="M126" s="1">
        <f t="shared" si="56"/>
        <v>0</v>
      </c>
      <c r="N126" s="1">
        <f t="shared" si="56"/>
        <v>-1</v>
      </c>
      <c r="O126" s="1">
        <f t="shared" si="56"/>
        <v>-1</v>
      </c>
      <c r="P126" s="1">
        <f t="shared" si="56"/>
        <v>0</v>
      </c>
      <c r="Q126" s="1">
        <f t="shared" si="56"/>
        <v>0.05</v>
      </c>
      <c r="R126" s="1">
        <f t="shared" si="56"/>
        <v>0</v>
      </c>
      <c r="S126" s="1">
        <f t="shared" si="56"/>
        <v>440</v>
      </c>
      <c r="T126" s="1"/>
    </row>
    <row r="127" spans="2:20" x14ac:dyDescent="0.3">
      <c r="B127" s="1" t="s">
        <v>100</v>
      </c>
      <c r="C127" s="1">
        <f>C113-$K$113*C123</f>
        <v>0</v>
      </c>
      <c r="D127" s="1">
        <f t="shared" ref="D127:S127" si="57">D113-$K$113*D123</f>
        <v>0</v>
      </c>
      <c r="E127" s="1">
        <f t="shared" si="57"/>
        <v>0</v>
      </c>
      <c r="F127" s="1">
        <f t="shared" si="57"/>
        <v>0</v>
      </c>
      <c r="G127" s="1">
        <f t="shared" si="57"/>
        <v>-1</v>
      </c>
      <c r="H127" s="1">
        <f t="shared" si="57"/>
        <v>0</v>
      </c>
      <c r="I127" s="1">
        <f t="shared" si="57"/>
        <v>0</v>
      </c>
      <c r="J127" s="1">
        <f t="shared" si="57"/>
        <v>0</v>
      </c>
      <c r="K127" s="1">
        <f t="shared" si="57"/>
        <v>0</v>
      </c>
      <c r="L127" s="1">
        <f t="shared" si="57"/>
        <v>-4</v>
      </c>
      <c r="M127" s="1">
        <f t="shared" si="57"/>
        <v>-4</v>
      </c>
      <c r="N127" s="1">
        <f t="shared" si="57"/>
        <v>4</v>
      </c>
      <c r="O127" s="1">
        <f t="shared" si="57"/>
        <v>4</v>
      </c>
      <c r="P127" s="1">
        <f t="shared" si="57"/>
        <v>1</v>
      </c>
      <c r="Q127" s="1">
        <f t="shared" si="57"/>
        <v>-0.2</v>
      </c>
      <c r="R127" s="1">
        <f t="shared" si="57"/>
        <v>0</v>
      </c>
      <c r="S127" s="1">
        <f t="shared" si="57"/>
        <v>-1080</v>
      </c>
      <c r="T127" s="1"/>
    </row>
    <row r="128" spans="2:20" x14ac:dyDescent="0.3">
      <c r="B128" s="1" t="s">
        <v>96</v>
      </c>
      <c r="C128" s="1">
        <f>C114-$K$114*C123</f>
        <v>0</v>
      </c>
      <c r="D128" s="1">
        <f t="shared" ref="D128:S128" si="58">D114-$K$114*D123</f>
        <v>0</v>
      </c>
      <c r="E128" s="1">
        <f t="shared" si="58"/>
        <v>0</v>
      </c>
      <c r="F128" s="1">
        <f t="shared" si="58"/>
        <v>0</v>
      </c>
      <c r="G128" s="1">
        <f t="shared" si="58"/>
        <v>1</v>
      </c>
      <c r="H128" s="1">
        <f t="shared" si="58"/>
        <v>0</v>
      </c>
      <c r="I128" s="1">
        <f t="shared" si="58"/>
        <v>0</v>
      </c>
      <c r="J128" s="1">
        <f t="shared" si="58"/>
        <v>0</v>
      </c>
      <c r="K128" s="1">
        <f t="shared" si="58"/>
        <v>0</v>
      </c>
      <c r="L128" s="1">
        <f t="shared" si="58"/>
        <v>-1</v>
      </c>
      <c r="M128" s="1">
        <f t="shared" si="58"/>
        <v>0</v>
      </c>
      <c r="N128" s="1">
        <f t="shared" si="58"/>
        <v>1</v>
      </c>
      <c r="O128" s="1">
        <f t="shared" si="58"/>
        <v>1</v>
      </c>
      <c r="P128" s="1">
        <f t="shared" si="58"/>
        <v>0</v>
      </c>
      <c r="Q128" s="1">
        <f t="shared" si="58"/>
        <v>-0.05</v>
      </c>
      <c r="R128" s="1">
        <f t="shared" si="58"/>
        <v>0</v>
      </c>
      <c r="S128" s="1">
        <f t="shared" si="58"/>
        <v>-120</v>
      </c>
      <c r="T128" s="1"/>
    </row>
    <row r="129" spans="2:20" x14ac:dyDescent="0.3">
      <c r="B129" s="1" t="s">
        <v>102</v>
      </c>
      <c r="C129" s="1">
        <f>C115-$K$115*C123</f>
        <v>0</v>
      </c>
      <c r="D129" s="1">
        <f t="shared" ref="D129:S129" si="59">D115-$K$115*D123</f>
        <v>0</v>
      </c>
      <c r="E129" s="1">
        <f t="shared" si="59"/>
        <v>0</v>
      </c>
      <c r="F129" s="1">
        <f t="shared" si="59"/>
        <v>0</v>
      </c>
      <c r="G129" s="1">
        <f t="shared" si="59"/>
        <v>0</v>
      </c>
      <c r="H129" s="1">
        <f t="shared" si="59"/>
        <v>-2</v>
      </c>
      <c r="I129" s="1">
        <f t="shared" si="59"/>
        <v>0</v>
      </c>
      <c r="J129" s="1">
        <f t="shared" si="59"/>
        <v>-1</v>
      </c>
      <c r="K129" s="1">
        <f t="shared" si="59"/>
        <v>0</v>
      </c>
      <c r="L129" s="1">
        <f t="shared" si="59"/>
        <v>-2</v>
      </c>
      <c r="M129" s="1">
        <f t="shared" si="59"/>
        <v>0</v>
      </c>
      <c r="N129" s="1">
        <f t="shared" si="59"/>
        <v>0</v>
      </c>
      <c r="O129" s="1">
        <f t="shared" si="59"/>
        <v>2</v>
      </c>
      <c r="P129" s="1">
        <f t="shared" si="59"/>
        <v>0</v>
      </c>
      <c r="Q129" s="1">
        <f t="shared" si="59"/>
        <v>-0.05</v>
      </c>
      <c r="R129" s="1">
        <f t="shared" si="59"/>
        <v>1</v>
      </c>
      <c r="S129" s="1">
        <f t="shared" si="59"/>
        <v>-400</v>
      </c>
      <c r="T12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 1</vt:lpstr>
      <vt:lpstr>Pregunta 2</vt:lpstr>
      <vt:lpstr>Pregunta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SEBASTIAN ASCURRA PEREZ</dc:creator>
  <cp:lastModifiedBy>SERGIO SEBASTIAN ASCURRA PEREZ</cp:lastModifiedBy>
  <dcterms:created xsi:type="dcterms:W3CDTF">2025-10-11T04:08:34Z</dcterms:created>
  <dcterms:modified xsi:type="dcterms:W3CDTF">2025-10-11T07:57:40Z</dcterms:modified>
</cp:coreProperties>
</file>